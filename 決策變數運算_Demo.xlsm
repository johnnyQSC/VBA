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ED089E98-4DE1-45BB-861E-EB053EA41302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南科廠" sheetId="5" r:id="rId1"/>
    <sheet name="中科廠" sheetId="6" r:id="rId2"/>
    <sheet name="竹科二廠" sheetId="7" r:id="rId3"/>
    <sheet name="竹科一廠" sheetId="8" r:id="rId4"/>
  </sheets>
  <definedNames>
    <definedName name="solver_adj" localSheetId="1" hidden="1">中科廠!$F$4:$F$6</definedName>
    <definedName name="solver_adj" localSheetId="3" hidden="1">竹科一廠!$F$4:$F$6</definedName>
    <definedName name="solver_adj" localSheetId="2" hidden="1">竹科二廠!$F$4:$F$6</definedName>
    <definedName name="solver_adj" localSheetId="0" hidden="1">南科廠!$F$4:$F$6</definedName>
    <definedName name="solver_eng" localSheetId="1" hidden="1">2</definedName>
    <definedName name="solver_eng" localSheetId="3" hidden="1">2</definedName>
    <definedName name="solver_eng" localSheetId="2" hidden="1">2</definedName>
    <definedName name="solver_eng" localSheetId="0" hidden="1">2</definedName>
    <definedName name="solver_lhs1" localSheetId="1" hidden="1">中科廠!$C$9</definedName>
    <definedName name="solver_lhs1" localSheetId="3" hidden="1">竹科一廠!$C$9</definedName>
    <definedName name="solver_lhs1" localSheetId="2" hidden="1">竹科二廠!$C$9</definedName>
    <definedName name="solver_lhs1" localSheetId="0" hidden="1">南科廠!$C$9</definedName>
    <definedName name="solver_lhs2" localSheetId="1" hidden="1">中科廠!$C$10</definedName>
    <definedName name="solver_lhs2" localSheetId="3" hidden="1">竹科一廠!$C$10</definedName>
    <definedName name="solver_lhs2" localSheetId="2" hidden="1">竹科二廠!$C$10</definedName>
    <definedName name="solver_lhs2" localSheetId="0" hidden="1">南科廠!$C$10</definedName>
    <definedName name="solver_lhs3" localSheetId="1" hidden="1">中科廠!$F$4</definedName>
    <definedName name="solver_lhs3" localSheetId="3" hidden="1">竹科一廠!$F$4</definedName>
    <definedName name="solver_lhs3" localSheetId="2" hidden="1">竹科二廠!$F$4</definedName>
    <definedName name="solver_lhs3" localSheetId="0" hidden="1">南科廠!$F$4</definedName>
    <definedName name="solver_lhs4" localSheetId="1" hidden="1">中科廠!$F$5</definedName>
    <definedName name="solver_lhs4" localSheetId="3" hidden="1">竹科一廠!$F$5</definedName>
    <definedName name="solver_lhs4" localSheetId="2" hidden="1">竹科二廠!$F$5</definedName>
    <definedName name="solver_lhs4" localSheetId="0" hidden="1">南科廠!$F$5</definedName>
    <definedName name="solver_lhs5" localSheetId="1" hidden="1">中科廠!$F$6</definedName>
    <definedName name="solver_lhs5" localSheetId="3" hidden="1">竹科一廠!$F$6</definedName>
    <definedName name="solver_lhs5" localSheetId="2" hidden="1">竹科二廠!$F$6</definedName>
    <definedName name="solver_lhs5" localSheetId="0" hidden="1">南科廠!$F$6</definedName>
    <definedName name="solver_lhs6" localSheetId="1" hidden="1">中科廠!$F$4</definedName>
    <definedName name="solver_lhs6" localSheetId="3" hidden="1">竹科一廠!$F$4</definedName>
    <definedName name="solver_lhs6" localSheetId="2" hidden="1">竹科二廠!$F$4</definedName>
    <definedName name="solver_lhs6" localSheetId="0" hidden="1">南科廠!$F$4</definedName>
    <definedName name="solver_lhs7" localSheetId="1" hidden="1">中科廠!$F$5</definedName>
    <definedName name="solver_lhs7" localSheetId="3" hidden="1">竹科一廠!$F$5</definedName>
    <definedName name="solver_lhs7" localSheetId="2" hidden="1">竹科二廠!$F$5</definedName>
    <definedName name="solver_lhs7" localSheetId="0" hidden="1">南科廠!$F$5</definedName>
    <definedName name="solver_lhs8" localSheetId="1" hidden="1">中科廠!$F$6</definedName>
    <definedName name="solver_lhs8" localSheetId="3" hidden="1">竹科一廠!$F$6</definedName>
    <definedName name="solver_lhs8" localSheetId="2" hidden="1">竹科二廠!$F$6</definedName>
    <definedName name="solver_lhs8" localSheetId="0" hidden="1">南科廠!$F$6</definedName>
    <definedName name="solver_neg" localSheetId="1" hidden="1">1</definedName>
    <definedName name="solver_neg" localSheetId="3" hidden="1">1</definedName>
    <definedName name="solver_neg" localSheetId="2" hidden="1">1</definedName>
    <definedName name="solver_neg" localSheetId="0" hidden="1">1</definedName>
    <definedName name="solver_num" localSheetId="1" hidden="1">8</definedName>
    <definedName name="solver_num" localSheetId="3" hidden="1">8</definedName>
    <definedName name="solver_num" localSheetId="2" hidden="1">8</definedName>
    <definedName name="solver_num" localSheetId="0" hidden="1">8</definedName>
    <definedName name="solver_opt" localSheetId="1" hidden="1">中科廠!$C$11</definedName>
    <definedName name="solver_opt" localSheetId="3" hidden="1">竹科一廠!$C$11</definedName>
    <definedName name="solver_opt" localSheetId="2" hidden="1">竹科二廠!$C$11</definedName>
    <definedName name="solver_opt" localSheetId="0" hidden="1">南科廠!$C$11</definedName>
    <definedName name="solver_rel1" localSheetId="1" hidden="1">1</definedName>
    <definedName name="solver_rel1" localSheetId="3" hidden="1">1</definedName>
    <definedName name="solver_rel1" localSheetId="2" hidden="1">1</definedName>
    <definedName name="solver_rel1" localSheetId="0" hidden="1">1</definedName>
    <definedName name="solver_rel2" localSheetId="1" hidden="1">1</definedName>
    <definedName name="solver_rel2" localSheetId="3" hidden="1">1</definedName>
    <definedName name="solver_rel2" localSheetId="2" hidden="1">1</definedName>
    <definedName name="solver_rel2" localSheetId="0" hidden="1">1</definedName>
    <definedName name="solver_rel3" localSheetId="1" hidden="1">4</definedName>
    <definedName name="solver_rel3" localSheetId="3" hidden="1">4</definedName>
    <definedName name="solver_rel3" localSheetId="2" hidden="1">4</definedName>
    <definedName name="solver_rel3" localSheetId="0" hidden="1">4</definedName>
    <definedName name="solver_rel4" localSheetId="1" hidden="1">4</definedName>
    <definedName name="solver_rel4" localSheetId="3" hidden="1">4</definedName>
    <definedName name="solver_rel4" localSheetId="2" hidden="1">4</definedName>
    <definedName name="solver_rel4" localSheetId="0" hidden="1">4</definedName>
    <definedName name="solver_rel5" localSheetId="1" hidden="1">4</definedName>
    <definedName name="solver_rel5" localSheetId="3" hidden="1">4</definedName>
    <definedName name="solver_rel5" localSheetId="2" hidden="1">4</definedName>
    <definedName name="solver_rel5" localSheetId="0" hidden="1">4</definedName>
    <definedName name="solver_rel6" localSheetId="1" hidden="1">3</definedName>
    <definedName name="solver_rel6" localSheetId="3" hidden="1">3</definedName>
    <definedName name="solver_rel6" localSheetId="2" hidden="1">3</definedName>
    <definedName name="solver_rel6" localSheetId="0" hidden="1">3</definedName>
    <definedName name="solver_rel7" localSheetId="1" hidden="1">3</definedName>
    <definedName name="solver_rel7" localSheetId="3" hidden="1">3</definedName>
    <definedName name="solver_rel7" localSheetId="2" hidden="1">3</definedName>
    <definedName name="solver_rel7" localSheetId="0" hidden="1">3</definedName>
    <definedName name="solver_rel8" localSheetId="1" hidden="1">3</definedName>
    <definedName name="solver_rel8" localSheetId="3" hidden="1">3</definedName>
    <definedName name="solver_rel8" localSheetId="2" hidden="1">3</definedName>
    <definedName name="solver_rel8" localSheetId="0" hidden="1">3</definedName>
    <definedName name="solver_rhs1" localSheetId="1" hidden="1">中科廠!$C$7</definedName>
    <definedName name="solver_rhs1" localSheetId="3" hidden="1">竹科一廠!$C$7</definedName>
    <definedName name="solver_rhs1" localSheetId="2" hidden="1">竹科二廠!$C$7</definedName>
    <definedName name="solver_rhs1" localSheetId="0" hidden="1">南科廠!$C$7</definedName>
    <definedName name="solver_rhs2" localSheetId="1" hidden="1">中科廠!$C$8</definedName>
    <definedName name="solver_rhs2" localSheetId="3" hidden="1">竹科一廠!$C$8</definedName>
    <definedName name="solver_rhs2" localSheetId="2" hidden="1">竹科二廠!$C$8</definedName>
    <definedName name="solver_rhs2" localSheetId="0" hidden="1">南科廠!$C$8</definedName>
    <definedName name="solver_rhs3" localSheetId="1" hidden="1">整數</definedName>
    <definedName name="solver_rhs3" localSheetId="3" hidden="1">整數</definedName>
    <definedName name="solver_rhs3" localSheetId="2" hidden="1">整數</definedName>
    <definedName name="solver_rhs3" localSheetId="0" hidden="1">整數</definedName>
    <definedName name="solver_rhs4" localSheetId="1" hidden="1">整數</definedName>
    <definedName name="solver_rhs4" localSheetId="3" hidden="1">整數</definedName>
    <definedName name="solver_rhs4" localSheetId="2" hidden="1">整數</definedName>
    <definedName name="solver_rhs4" localSheetId="0" hidden="1">整數</definedName>
    <definedName name="solver_rhs5" localSheetId="1" hidden="1">整數</definedName>
    <definedName name="solver_rhs5" localSheetId="3" hidden="1">整數</definedName>
    <definedName name="solver_rhs5" localSheetId="2" hidden="1">整數</definedName>
    <definedName name="solver_rhs5" localSheetId="0" hidden="1">整數</definedName>
    <definedName name="solver_rhs6" localSheetId="1" hidden="1">0</definedName>
    <definedName name="solver_rhs6" localSheetId="3" hidden="1">0</definedName>
    <definedName name="solver_rhs6" localSheetId="2" hidden="1">0</definedName>
    <definedName name="solver_rhs6" localSheetId="0" hidden="1">0</definedName>
    <definedName name="solver_rhs7" localSheetId="1" hidden="1">0</definedName>
    <definedName name="solver_rhs7" localSheetId="3" hidden="1">0</definedName>
    <definedName name="solver_rhs7" localSheetId="2" hidden="1">0</definedName>
    <definedName name="solver_rhs7" localSheetId="0" hidden="1">0</definedName>
    <definedName name="solver_rhs8" localSheetId="1" hidden="1">0</definedName>
    <definedName name="solver_rhs8" localSheetId="3" hidden="1">0</definedName>
    <definedName name="solver_rhs8" localSheetId="2" hidden="1">0</definedName>
    <definedName name="solver_rhs8" localSheetId="0" hidden="1">0</definedName>
    <definedName name="solver_typ" localSheetId="1" hidden="1">1</definedName>
    <definedName name="solver_typ" localSheetId="3" hidden="1">1</definedName>
    <definedName name="solver_typ" localSheetId="2" hidden="1">1</definedName>
    <definedName name="solver_typ" localSheetId="0" hidden="1">1</definedName>
    <definedName name="solver_val" localSheetId="1" hidden="1">0</definedName>
    <definedName name="solver_val" localSheetId="3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8" l="1"/>
  <c r="C9" i="8"/>
  <c r="G6" i="8"/>
  <c r="G5" i="8"/>
  <c r="G4" i="8"/>
  <c r="C10" i="7"/>
  <c r="C9" i="7"/>
  <c r="G6" i="7"/>
  <c r="G5" i="7"/>
  <c r="G4" i="7"/>
  <c r="C10" i="6"/>
  <c r="C9" i="6"/>
  <c r="G6" i="6"/>
  <c r="G5" i="6"/>
  <c r="G4" i="6"/>
  <c r="C10" i="5"/>
  <c r="C9" i="5"/>
  <c r="G6" i="5"/>
  <c r="G5" i="5"/>
  <c r="G4" i="5"/>
  <c r="C11" i="8" l="1"/>
  <c r="C11" i="7"/>
  <c r="C11" i="6"/>
  <c r="C11" i="5"/>
</calcChain>
</file>

<file path=xl/sharedStrings.xml><?xml version="1.0" encoding="utf-8"?>
<sst xmlns="http://schemas.openxmlformats.org/spreadsheetml/2006/main" count="88" uniqueCount="23">
  <si>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</si>
  <si>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</si>
  <si>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</si>
  <si>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</si>
  <si>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</si>
  <si>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</si>
  <si>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</si>
  <si>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</si>
  <si>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</si>
  <si>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</si>
  <si>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&lt;==表示有公式(請自己下公視)</t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</si>
  <si>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</si>
  <si>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</si>
  <si>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3D口罩</t>
    <phoneticPr fontId="1" type="noConversion"/>
  </si>
  <si>
    <t>醫療口罩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</si>
  <si>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</si>
  <si>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</si>
  <si>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</si>
  <si>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</si>
  <si>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</si>
  <si>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</si>
  <si>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公式推導-實際用料C9</t>
    <phoneticPr fontId="1" type="noConversion"/>
  </si>
  <si>
    <t>&lt;==表示有公式(請自己下公式)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</si>
</sst>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5" name="右大括弧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38738" y="1843088"/>
          <a:ext cx="260985" cy="7972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B1:J13"/>
  <sheetViews>
    <sheetView workbookViewId="0">
      <selection activeCell="C12" sqref="C12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10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146</v>
      </c>
      <c r="G4" s="3">
        <f>E4*F4</f>
        <v>2190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2</v>
      </c>
      <c r="G5" s="3">
        <f>E5*F5</f>
        <v>10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20</v>
      </c>
      <c r="G6" s="3">
        <f>E6*F6</f>
        <v>400</v>
      </c>
    </row>
    <row r="7" spans="2:10" x14ac:dyDescent="0.4">
      <c r="B7" s="7" t="s">
        <v>1</v>
      </c>
      <c r="C7" s="15">
        <v>5000</v>
      </c>
      <c r="D7" t="s">
        <v>8</v>
      </c>
    </row>
    <row r="8" spans="2:10" x14ac:dyDescent="0.4">
      <c r="B8" s="10" t="s">
        <v>2</v>
      </c>
      <c r="C8" s="15">
        <v>3000</v>
      </c>
      <c r="D8" t="s">
        <v>9</v>
      </c>
    </row>
    <row r="9" spans="2:10" x14ac:dyDescent="0.4">
      <c r="B9" s="7" t="s">
        <v>3</v>
      </c>
      <c r="C9" s="1">
        <f>C4*F4+C5*F5+C6*F6</f>
        <v>5000</v>
      </c>
    </row>
    <row r="10" spans="2:10" x14ac:dyDescent="0.4">
      <c r="B10" s="10" t="s">
        <v>4</v>
      </c>
      <c r="C10" s="1">
        <f>D4*F4+D5*F5+D6*F6</f>
        <v>3000</v>
      </c>
    </row>
    <row r="11" spans="2:10" x14ac:dyDescent="0.4">
      <c r="B11" s="11" t="s">
        <v>5</v>
      </c>
      <c r="C11" s="1">
        <f>G4+G5+G6</f>
        <v>2600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B1:J13"/>
  <sheetViews>
    <sheetView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200</v>
      </c>
      <c r="G4" s="3">
        <f>E4*F4</f>
        <v>3000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0</v>
      </c>
      <c r="G5" s="3">
        <f>E5*F5</f>
        <v>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0</v>
      </c>
      <c r="G6" s="3">
        <f>E6*F6</f>
        <v>0</v>
      </c>
    </row>
    <row r="7" spans="2:10" x14ac:dyDescent="0.4">
      <c r="B7" s="7" t="s">
        <v>1</v>
      </c>
      <c r="C7" s="15">
        <v>6000</v>
      </c>
      <c r="D7" t="s">
        <v>8</v>
      </c>
    </row>
    <row r="8" spans="2:10" x14ac:dyDescent="0.4">
      <c r="B8" s="10" t="s">
        <v>2</v>
      </c>
      <c r="C8" s="15">
        <v>3000</v>
      </c>
      <c r="D8" t="s">
        <v>9</v>
      </c>
    </row>
    <row r="9" spans="2:10" x14ac:dyDescent="0.4">
      <c r="B9" s="7" t="s">
        <v>3</v>
      </c>
      <c r="C9" s="1">
        <f>C4*F4+C5*F5+C6*F6</f>
        <v>6000</v>
      </c>
    </row>
    <row r="10" spans="2:10" x14ac:dyDescent="0.4">
      <c r="B10" s="10" t="s">
        <v>4</v>
      </c>
      <c r="C10" s="1">
        <f>D4*F4+D5*F5+D6*F6</f>
        <v>3000</v>
      </c>
    </row>
    <row r="11" spans="2:10" x14ac:dyDescent="0.4">
      <c r="B11" s="11" t="s">
        <v>5</v>
      </c>
      <c r="C11" s="1">
        <f>G4+G5+G6</f>
        <v>3000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B1:J13"/>
  <sheetViews>
    <sheetView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2933</v>
      </c>
      <c r="G4" s="3">
        <f>E4*F4</f>
        <v>43995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1</v>
      </c>
      <c r="G5" s="3">
        <f>E5*F5</f>
        <v>5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400</v>
      </c>
      <c r="G6" s="3">
        <f>E6*F6</f>
        <v>8000</v>
      </c>
    </row>
    <row r="7" spans="2:10" x14ac:dyDescent="0.4">
      <c r="B7" s="7" t="s">
        <v>1</v>
      </c>
      <c r="C7" s="15">
        <v>100000</v>
      </c>
      <c r="D7" t="s">
        <v>8</v>
      </c>
    </row>
    <row r="8" spans="2:10" x14ac:dyDescent="0.4">
      <c r="B8" s="10" t="s">
        <v>2</v>
      </c>
      <c r="C8" s="15">
        <v>60000</v>
      </c>
      <c r="D8" t="s">
        <v>9</v>
      </c>
    </row>
    <row r="9" spans="2:10" x14ac:dyDescent="0.4">
      <c r="B9" s="7" t="s">
        <v>3</v>
      </c>
      <c r="C9" s="1">
        <f>C4*F4+C5*F5+C6*F6</f>
        <v>100000</v>
      </c>
    </row>
    <row r="10" spans="2:10" x14ac:dyDescent="0.4">
      <c r="B10" s="10" t="s">
        <v>4</v>
      </c>
      <c r="C10" s="1">
        <f>D4*F4+D5*F5+D6*F6</f>
        <v>60000</v>
      </c>
    </row>
    <row r="11" spans="2:10" x14ac:dyDescent="0.4">
      <c r="B11" s="11" t="s">
        <v>5</v>
      </c>
      <c r="C11" s="1">
        <f>G4+G5+G6</f>
        <v>52000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B1:J13"/>
  <sheetViews>
    <sheetView tabSelected="1"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226</v>
      </c>
      <c r="G4" s="3">
        <f>E4*F4</f>
        <v>3390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2</v>
      </c>
      <c r="G5" s="3">
        <f>E5*F5</f>
        <v>10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50</v>
      </c>
      <c r="G6" s="3">
        <f>E6*F6</f>
        <v>1000</v>
      </c>
    </row>
    <row r="7" spans="2:10" x14ac:dyDescent="0.4">
      <c r="B7" s="7" t="s">
        <v>1</v>
      </c>
      <c r="C7" s="15">
        <v>8300</v>
      </c>
      <c r="D7" t="s">
        <v>8</v>
      </c>
    </row>
    <row r="8" spans="2:10" x14ac:dyDescent="0.4">
      <c r="B8" s="10" t="s">
        <v>2</v>
      </c>
      <c r="C8" s="15">
        <v>5400</v>
      </c>
      <c r="D8" t="s">
        <v>9</v>
      </c>
    </row>
    <row r="9" spans="2:10" x14ac:dyDescent="0.4">
      <c r="B9" s="7" t="s">
        <v>3</v>
      </c>
      <c r="C9" s="1">
        <f>C4*F4+C5*F5+C6*F6</f>
        <v>8300</v>
      </c>
    </row>
    <row r="10" spans="2:10" x14ac:dyDescent="0.4">
      <c r="B10" s="10" t="s">
        <v>4</v>
      </c>
      <c r="C10" s="1">
        <f>D4*F4+D5*F5+D6*F6</f>
        <v>5400</v>
      </c>
    </row>
    <row r="11" spans="2:10" x14ac:dyDescent="0.4">
      <c r="B11" s="11" t="s">
        <v>5</v>
      </c>
      <c r="C11" s="1">
        <f>G4+G5+G6</f>
        <v>4400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南科廠</vt:lpstr>
      <vt:lpstr>中科廠</vt:lpstr>
      <vt:lpstr>竹科二廠</vt:lpstr>
      <vt:lpstr>竹科一廠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ASUS</cp:lastModifiedBy>
  <dcterms:created xsi:type="dcterms:W3CDTF">2018-12-28T11:27:12Z</dcterms:created>
  <dcterms:modified xsi:type="dcterms:W3CDTF">2023-03-18T04:16:48Z</dcterms:modified>
</cp:coreProperties>
</file>