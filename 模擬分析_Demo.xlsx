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7A81106-6D84-4FC8-80A1-CCBAC657BF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停損點" sheetId="2" r:id="rId1"/>
    <sheet name="停利點" sheetId="3" r:id="rId2"/>
  </sheets>
  <definedNames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2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停利點!$B$4:$C$4</definedName>
    <definedName name="solver_lhs1" localSheetId="0" hidden="1">停損點!$B$4:$C$4</definedName>
    <definedName name="solver_lhs2" localSheetId="1" hidden="1">停利點!$B$4:$C$4</definedName>
    <definedName name="solver_lhs2" localSheetId="0" hidden="1">停損點!$B$4:$C$4</definedName>
    <definedName name="solver_lhs3" localSheetId="1" hidden="1">停利點!$B$4:$C$4</definedName>
    <definedName name="solver_lhs3" localSheetId="0" hidden="1">停損點!$B$4:$C$4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2</definedName>
    <definedName name="solver_rel1" localSheetId="1" hidden="1">3</definedName>
    <definedName name="solver_rel1" localSheetId="0" hidden="1">3</definedName>
    <definedName name="solver_rel2" localSheetId="1" hidden="1">3</definedName>
    <definedName name="solver_rel2" localSheetId="0" hidden="1">3</definedName>
    <definedName name="solver_rel3" localSheetId="1" hidden="1">3</definedName>
    <definedName name="solver_rel3" localSheetId="0" hidden="1">3</definedName>
    <definedName name="solver_rhs1" localSheetId="1" hidden="1">200</definedName>
    <definedName name="solver_rhs1" localSheetId="0" hidden="1">200</definedName>
    <definedName name="solver_rhs2" localSheetId="1" hidden="1">200</definedName>
    <definedName name="solver_rhs2" localSheetId="0" hidden="1">200</definedName>
    <definedName name="solver_rhs3" localSheetId="1" hidden="1">200</definedName>
    <definedName name="solver_rhs3" localSheetId="0" hidden="1">200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8" i="3" s="1"/>
  <c r="B5" i="2"/>
  <c r="B8" i="2" s="1"/>
  <c r="E1" i="3" l="1"/>
  <c r="E1" i="2"/>
</calcChain>
</file>

<file path=xl/sharedStrings.xml><?xml version="1.0" encoding="utf-8"?>
<sst xmlns="http://schemas.openxmlformats.org/spreadsheetml/2006/main" count="24" uniqueCount="13">
  <si>
    <t>淨利(總利潤-固定支出)</t>
    <phoneticPr fontId="3" type="noConversion"/>
  </si>
  <si>
    <t>固定支出</t>
    <phoneticPr fontId="3" type="noConversion"/>
  </si>
  <si>
    <t>總利潤(合約單價-製造單位成本)*數量</t>
    <phoneticPr fontId="3" type="noConversion"/>
  </si>
  <si>
    <t>數量</t>
    <phoneticPr fontId="3" type="noConversion"/>
  </si>
  <si>
    <t>製造單位成本</t>
    <phoneticPr fontId="3" type="noConversion"/>
  </si>
  <si>
    <t>名稱</t>
    <phoneticPr fontId="3" type="noConversion"/>
  </si>
  <si>
    <t>縱軸-數量</t>
    <phoneticPr fontId="3" type="noConversion"/>
  </si>
  <si>
    <t>橫軸-合約單價</t>
    <phoneticPr fontId="3" type="noConversion"/>
  </si>
  <si>
    <t>矩陣內容(數量-合約單價)-淨利(色階)</t>
    <phoneticPr fontId="2" type="noConversion"/>
  </si>
  <si>
    <t>請自行下公式</t>
    <phoneticPr fontId="2" type="noConversion"/>
  </si>
  <si>
    <t>快篩試劑</t>
    <phoneticPr fontId="2" type="noConversion"/>
  </si>
  <si>
    <t>快篩試劑</t>
    <phoneticPr fontId="2" type="noConversion"/>
  </si>
  <si>
    <t>政府合約單價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</si>
</sst>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@_)"/>
    <numFmt numFmtId="177" formatCode="&quot;$&quot;#,##0_);[Red]\(&quot;$&quot;#,##0\)"/>
    <numFmt numFmtId="178" formatCode="0_)"/>
    <numFmt numFmtId="179" formatCode="&quot;$&quot;#,##0_)"/>
  </numFmts>
  <fonts count="8">
    <font>
      <sz val="11"/>
      <color theme="1"/>
      <name val="新細明體"/>
      <family val="2"/>
      <scheme val="minor"/>
    </font>
    <font>
      <sz val="9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蘋方-繁"/>
      <family val="2"/>
      <charset val="136"/>
    </font>
    <font>
      <sz val="8"/>
      <color theme="1"/>
      <name val="標楷體"/>
      <family val="4"/>
      <charset val="136"/>
    </font>
    <font>
      <sz val="11"/>
      <color theme="1"/>
      <name val="蘋方-繁"/>
      <family val="2"/>
      <charset val="136"/>
    </font>
    <font>
      <sz val="9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36">
    <xf numFmtId="0" fontId="0" fillId="0" borderId="0" xfId="0"/>
    <xf numFmtId="0" fontId="6" fillId="0" borderId="0" xfId="1" applyFont="1" applyBorder="1">
      <alignment vertical="center"/>
    </xf>
    <xf numFmtId="0" fontId="7" fillId="0" borderId="0" xfId="1" applyFont="1" applyBorder="1">
      <alignment vertical="center"/>
    </xf>
    <xf numFmtId="0" fontId="5" fillId="0" borderId="0" xfId="1">
      <alignment vertical="center"/>
    </xf>
    <xf numFmtId="0" fontId="6" fillId="0" borderId="0" xfId="1" applyFont="1" applyBorder="1" applyAlignment="1">
      <alignment horizontal="left" vertical="center" indent="1"/>
    </xf>
    <xf numFmtId="179" fontId="7" fillId="4" borderId="11" xfId="1" applyNumberFormat="1" applyFont="1" applyFill="1" applyBorder="1">
      <alignment vertical="center"/>
    </xf>
    <xf numFmtId="178" fontId="7" fillId="4" borderId="6" xfId="1" applyNumberFormat="1" applyFont="1" applyFill="1" applyBorder="1">
      <alignment vertical="center"/>
    </xf>
    <xf numFmtId="179" fontId="7" fillId="4" borderId="13" xfId="1" applyNumberFormat="1" applyFont="1" applyFill="1" applyBorder="1">
      <alignment vertical="center"/>
    </xf>
    <xf numFmtId="179" fontId="4" fillId="0" borderId="6" xfId="1" applyNumberFormat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177" fontId="4" fillId="0" borderId="6" xfId="1" applyNumberFormat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0" xfId="1" applyFont="1" applyBorder="1">
      <alignment vertical="center"/>
    </xf>
    <xf numFmtId="0" fontId="1" fillId="0" borderId="0" xfId="1" applyFont="1" applyBorder="1" applyAlignment="1">
      <alignment horizontal="left" vertical="center" indent="1"/>
    </xf>
    <xf numFmtId="178" fontId="4" fillId="0" borderId="0" xfId="1" applyNumberFormat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178" fontId="4" fillId="2" borderId="7" xfId="1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77" fontId="4" fillId="0" borderId="4" xfId="1" applyNumberFormat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176" fontId="1" fillId="0" borderId="2" xfId="1" applyNumberFormat="1" applyFont="1" applyFill="1" applyBorder="1" applyAlignment="1">
      <alignment horizontal="center" vertical="center"/>
    </xf>
    <xf numFmtId="177" fontId="6" fillId="0" borderId="0" xfId="1" applyNumberFormat="1" applyFont="1" applyFill="1" applyBorder="1" applyAlignment="1">
      <alignment horizontal="center" vertical="center"/>
    </xf>
    <xf numFmtId="177" fontId="4" fillId="5" borderId="4" xfId="1" applyNumberFormat="1" applyFont="1" applyFill="1" applyBorder="1" applyAlignment="1">
      <alignment horizontal="center" vertical="center"/>
    </xf>
    <xf numFmtId="0" fontId="6" fillId="5" borderId="0" xfId="1" applyFont="1" applyFill="1" applyBorder="1">
      <alignment vertical="center"/>
    </xf>
    <xf numFmtId="179" fontId="4" fillId="5" borderId="6" xfId="1" applyNumberFormat="1" applyFont="1" applyFill="1" applyBorder="1" applyAlignment="1">
      <alignment horizontal="center" vertical="center"/>
    </xf>
    <xf numFmtId="177" fontId="4" fillId="2" borderId="6" xfId="1" applyNumberFormat="1" applyFont="1" applyFill="1" applyBorder="1" applyAlignment="1">
      <alignment horizontal="center" vertical="center"/>
    </xf>
    <xf numFmtId="177" fontId="4" fillId="6" borderId="6" xfId="1" applyNumberFormat="1" applyFont="1" applyFill="1" applyBorder="1" applyAlignment="1">
      <alignment horizontal="center" vertical="center"/>
    </xf>
    <xf numFmtId="177" fontId="5" fillId="0" borderId="0" xfId="1" applyNumberFormat="1">
      <alignment vertical="center"/>
    </xf>
    <xf numFmtId="178" fontId="4" fillId="0" borderId="7" xfId="1" applyNumberFormat="1" applyFont="1" applyFill="1" applyBorder="1" applyAlignment="1">
      <alignment horizontal="center" vertical="center"/>
    </xf>
    <xf numFmtId="177" fontId="6" fillId="0" borderId="15" xfId="1" applyNumberFormat="1" applyFont="1" applyFill="1" applyBorder="1" applyAlignment="1">
      <alignment horizontal="center" vertical="center"/>
    </xf>
    <xf numFmtId="177" fontId="6" fillId="0" borderId="14" xfId="1" applyNumberFormat="1" applyFont="1" applyFill="1" applyBorder="1" applyAlignment="1">
      <alignment horizontal="center" vertical="center"/>
    </xf>
    <xf numFmtId="177" fontId="6" fillId="0" borderId="12" xfId="1" applyNumberFormat="1" applyFont="1" applyFill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abSelected="1" zoomScale="150" zoomScaleNormal="150" workbookViewId="0">
      <selection activeCell="B3" sqref="B3"/>
    </sheetView>
  </sheetViews>
  <sheetFormatPr defaultColWidth="10.69921875" defaultRowHeight="16.899999999999999" customHeight="1"/>
  <cols>
    <col min="1" max="1" width="31.3984375" style="4" bestFit="1" customWidth="1"/>
    <col min="2" max="2" width="13.09765625" style="1" bestFit="1" customWidth="1"/>
    <col min="3" max="3" width="13.69921875" style="3" bestFit="1" customWidth="1"/>
    <col min="4" max="4" width="30" style="1" bestFit="1" customWidth="1"/>
    <col min="5" max="5" width="9.296875" style="2" bestFit="1" customWidth="1"/>
    <col min="6" max="10" width="9.296875" style="2" customWidth="1"/>
    <col min="11" max="12" width="9.296875" style="1" customWidth="1"/>
    <col min="13" max="16384" width="10.69921875" style="1"/>
  </cols>
  <sheetData>
    <row r="1" spans="1:11" ht="16.899999999999999" customHeight="1" thickBot="1">
      <c r="A1" s="18" t="s">
        <v>5</v>
      </c>
      <c r="B1" s="21" t="s">
        <v>11</v>
      </c>
      <c r="D1" s="22" t="s">
        <v>8</v>
      </c>
      <c r="E1" s="7">
        <f>B8</f>
        <v>-5050000</v>
      </c>
      <c r="F1" s="7">
        <v>1500</v>
      </c>
      <c r="G1" s="7">
        <v>1600</v>
      </c>
      <c r="H1" s="7">
        <v>1700</v>
      </c>
      <c r="I1" s="7">
        <v>1800</v>
      </c>
      <c r="J1" s="7">
        <v>1900</v>
      </c>
      <c r="K1" s="7">
        <v>2000</v>
      </c>
    </row>
    <row r="2" spans="1:11" ht="16.899999999999999" customHeight="1">
      <c r="A2" s="20" t="s">
        <v>12</v>
      </c>
      <c r="B2" s="19">
        <v>110</v>
      </c>
      <c r="D2" s="30" t="s">
        <v>6</v>
      </c>
      <c r="E2" s="6">
        <v>2100</v>
      </c>
      <c r="F2" s="7">
        <f t="dataTable" ref="F2:K12" dt2D="1" dtr="1" r1="B2" r2="B4"/>
        <v>1070420</v>
      </c>
      <c r="G2" s="7">
        <v>1280420</v>
      </c>
      <c r="H2" s="7">
        <v>1490420</v>
      </c>
      <c r="I2" s="7">
        <v>1700420</v>
      </c>
      <c r="J2" s="7">
        <v>1910420</v>
      </c>
      <c r="K2" s="7">
        <v>2120420</v>
      </c>
    </row>
    <row r="3" spans="1:11" ht="16.899999999999999" customHeight="1">
      <c r="A3" s="11" t="s">
        <v>4</v>
      </c>
      <c r="B3" s="26">
        <v>249.8</v>
      </c>
      <c r="D3" s="31"/>
      <c r="E3" s="6">
        <v>2200</v>
      </c>
      <c r="F3" s="7">
        <v>1195440</v>
      </c>
      <c r="G3" s="7">
        <v>1415440</v>
      </c>
      <c r="H3" s="7">
        <v>1635440</v>
      </c>
      <c r="I3" s="7">
        <v>1855440</v>
      </c>
      <c r="J3" s="7">
        <v>2075440</v>
      </c>
      <c r="K3" s="7">
        <v>2295440</v>
      </c>
    </row>
    <row r="4" spans="1:11" ht="16.899999999999999" customHeight="1">
      <c r="A4" s="18" t="s">
        <v>3</v>
      </c>
      <c r="B4" s="29">
        <v>25000</v>
      </c>
      <c r="D4" s="31"/>
      <c r="E4" s="6">
        <v>2300</v>
      </c>
      <c r="F4" s="7">
        <v>1320460</v>
      </c>
      <c r="G4" s="7">
        <v>1550460</v>
      </c>
      <c r="H4" s="7">
        <v>1780460</v>
      </c>
      <c r="I4" s="7">
        <v>2010460</v>
      </c>
      <c r="J4" s="7">
        <v>2240460</v>
      </c>
      <c r="K4" s="7">
        <v>2470460</v>
      </c>
    </row>
    <row r="5" spans="1:11" ht="16.899999999999999" customHeight="1">
      <c r="A5" s="16" t="s">
        <v>2</v>
      </c>
      <c r="B5" s="23">
        <f>(B2-B3)*B4</f>
        <v>-3495000.0000000005</v>
      </c>
      <c r="D5" s="31"/>
      <c r="E5" s="6">
        <v>2400</v>
      </c>
      <c r="F5" s="7">
        <v>1445480</v>
      </c>
      <c r="G5" s="7">
        <v>1685480</v>
      </c>
      <c r="H5" s="7">
        <v>1925480</v>
      </c>
      <c r="I5" s="7">
        <v>2165480</v>
      </c>
      <c r="J5" s="7">
        <v>2405480</v>
      </c>
      <c r="K5" s="7">
        <v>2645480</v>
      </c>
    </row>
    <row r="6" spans="1:11" ht="16.899999999999999" customHeight="1">
      <c r="A6" s="15"/>
      <c r="B6" s="14"/>
      <c r="D6" s="31"/>
      <c r="E6" s="6">
        <v>2500</v>
      </c>
      <c r="F6" s="7">
        <v>1570500</v>
      </c>
      <c r="G6" s="7">
        <v>1820500</v>
      </c>
      <c r="H6" s="7">
        <v>2070500</v>
      </c>
      <c r="I6" s="7">
        <v>2320500</v>
      </c>
      <c r="J6" s="7">
        <v>2570500</v>
      </c>
      <c r="K6" s="7">
        <v>2820500</v>
      </c>
    </row>
    <row r="7" spans="1:11" ht="16.899999999999999" customHeight="1">
      <c r="A7" s="11" t="s">
        <v>1</v>
      </c>
      <c r="B7" s="10">
        <v>1555000</v>
      </c>
      <c r="C7" s="28"/>
      <c r="D7" s="31"/>
      <c r="E7" s="6">
        <v>2600</v>
      </c>
      <c r="F7" s="7">
        <v>1695520</v>
      </c>
      <c r="G7" s="7">
        <v>1955520</v>
      </c>
      <c r="H7" s="7">
        <v>2215520</v>
      </c>
      <c r="I7" s="7">
        <v>2475520</v>
      </c>
      <c r="J7" s="7">
        <v>2735520</v>
      </c>
      <c r="K7" s="7">
        <v>2995520</v>
      </c>
    </row>
    <row r="8" spans="1:11" ht="16.899999999999999" customHeight="1">
      <c r="A8" s="9" t="s">
        <v>0</v>
      </c>
      <c r="B8" s="25">
        <f>B5-B7</f>
        <v>-5050000</v>
      </c>
      <c r="D8" s="31"/>
      <c r="E8" s="6">
        <v>2700</v>
      </c>
      <c r="F8" s="7">
        <v>1820540</v>
      </c>
      <c r="G8" s="7">
        <v>2090540</v>
      </c>
      <c r="H8" s="7">
        <v>2360540</v>
      </c>
      <c r="I8" s="7">
        <v>2630540</v>
      </c>
      <c r="J8" s="7">
        <v>2900540</v>
      </c>
      <c r="K8" s="7">
        <v>3170540</v>
      </c>
    </row>
    <row r="9" spans="1:11" ht="16.899999999999999" customHeight="1">
      <c r="A9" s="13"/>
      <c r="B9" s="12"/>
      <c r="D9" s="31"/>
      <c r="E9" s="6">
        <v>2800</v>
      </c>
      <c r="F9" s="7">
        <v>1945560</v>
      </c>
      <c r="G9" s="7">
        <v>2225560</v>
      </c>
      <c r="H9" s="7">
        <v>2505560</v>
      </c>
      <c r="I9" s="7">
        <v>2785560</v>
      </c>
      <c r="J9" s="7">
        <v>3065560</v>
      </c>
      <c r="K9" s="7">
        <v>3345560</v>
      </c>
    </row>
    <row r="10" spans="1:11" ht="16.899999999999999" customHeight="1">
      <c r="A10" s="11"/>
      <c r="B10" s="10"/>
      <c r="D10" s="31"/>
      <c r="E10" s="6">
        <v>2900</v>
      </c>
      <c r="F10" s="7">
        <v>2070580</v>
      </c>
      <c r="G10" s="7">
        <v>2360580</v>
      </c>
      <c r="H10" s="7">
        <v>2650580</v>
      </c>
      <c r="I10" s="7">
        <v>2940580</v>
      </c>
      <c r="J10" s="7">
        <v>3230580</v>
      </c>
      <c r="K10" s="7">
        <v>3520580</v>
      </c>
    </row>
    <row r="11" spans="1:11" ht="16.899999999999999" customHeight="1">
      <c r="A11" s="9"/>
      <c r="B11" s="8"/>
      <c r="D11" s="31"/>
      <c r="E11" s="6">
        <v>3000</v>
      </c>
      <c r="F11" s="7">
        <v>2195600</v>
      </c>
      <c r="G11" s="7">
        <v>2495600</v>
      </c>
      <c r="H11" s="7">
        <v>2795600</v>
      </c>
      <c r="I11" s="7">
        <v>3095600</v>
      </c>
      <c r="J11" s="7">
        <v>3395600</v>
      </c>
      <c r="K11" s="7">
        <v>3695600</v>
      </c>
    </row>
    <row r="12" spans="1:11" ht="16.899999999999999" customHeight="1" thickBot="1">
      <c r="A12" s="3"/>
      <c r="B12" s="3"/>
      <c r="D12" s="32"/>
      <c r="E12" s="6">
        <v>3100</v>
      </c>
      <c r="F12" s="5">
        <v>2320620</v>
      </c>
      <c r="G12" s="5">
        <v>2630620</v>
      </c>
      <c r="H12" s="5">
        <v>2940620</v>
      </c>
      <c r="I12" s="5">
        <v>3250620</v>
      </c>
      <c r="J12" s="5">
        <v>3560620</v>
      </c>
      <c r="K12" s="5">
        <v>3870620</v>
      </c>
    </row>
    <row r="13" spans="1:11" ht="16.899999999999999" customHeight="1" thickBot="1">
      <c r="B13" s="24"/>
      <c r="C13" s="3" t="s">
        <v>9</v>
      </c>
      <c r="F13" s="33" t="s">
        <v>7</v>
      </c>
      <c r="G13" s="34"/>
      <c r="H13" s="34"/>
      <c r="I13" s="34"/>
      <c r="J13" s="34"/>
      <c r="K13" s="35"/>
    </row>
  </sheetData>
  <scenarios current="1" show="0" sqref="M1">
    <scenario name="模擬條件1" locked="1" count="3" user="作者" comment="小洪製造成本系統模擬">
      <inputCells r="B1" val="成品螺絲型號2"/>
      <inputCells r="B2" val="566" numFmtId="176"/>
      <inputCells r="B3" val="500" numFmtId="176"/>
    </scenario>
    <scenario name="模擬條件2" locked="1" count="3" user="作者" comment="小洪產品2">
      <inputCells r="B1" val="成品螺絲型號3"/>
      <inputCells r="B2" val="666" numFmtId="176"/>
      <inputCells r="B3" val="600" numFmtId="176"/>
    </scenario>
  </scenarios>
  <mergeCells count="2">
    <mergeCell ref="D2:D12"/>
    <mergeCell ref="F13:K13"/>
  </mergeCells>
  <phoneticPr fontId="2" type="noConversion"/>
  <conditionalFormatting sqref="F2:K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showGridLines="0" zoomScale="177" zoomScaleNormal="150" workbookViewId="0">
      <selection activeCell="D16" sqref="D16"/>
    </sheetView>
  </sheetViews>
  <sheetFormatPr defaultColWidth="10.69921875" defaultRowHeight="16.899999999999999" customHeight="1"/>
  <cols>
    <col min="1" max="1" width="31.3984375" style="4" bestFit="1" customWidth="1"/>
    <col min="2" max="2" width="13.09765625" style="1" bestFit="1" customWidth="1"/>
    <col min="3" max="3" width="11.09765625" style="3" customWidth="1"/>
    <col min="4" max="4" width="30" style="1" bestFit="1" customWidth="1"/>
    <col min="5" max="5" width="9.296875" style="2" bestFit="1" customWidth="1"/>
    <col min="6" max="10" width="9.296875" style="2" customWidth="1"/>
    <col min="11" max="12" width="9.296875" style="1" customWidth="1"/>
    <col min="13" max="16384" width="10.69921875" style="1"/>
  </cols>
  <sheetData>
    <row r="1" spans="1:11" ht="16.899999999999999" customHeight="1" thickBot="1">
      <c r="A1" s="18" t="s">
        <v>5</v>
      </c>
      <c r="B1" s="21" t="s">
        <v>10</v>
      </c>
      <c r="D1" s="22" t="s">
        <v>8</v>
      </c>
      <c r="E1" s="7">
        <f>B8</f>
        <v>12000000</v>
      </c>
      <c r="F1" s="7">
        <v>1500</v>
      </c>
      <c r="G1" s="7">
        <v>1600</v>
      </c>
      <c r="H1" s="7">
        <v>1700</v>
      </c>
      <c r="I1" s="7">
        <v>1800</v>
      </c>
      <c r="J1" s="7">
        <v>1900</v>
      </c>
      <c r="K1" s="7">
        <v>2000</v>
      </c>
    </row>
    <row r="2" spans="1:11" ht="16.899999999999999" customHeight="1">
      <c r="A2" s="20" t="s">
        <v>12</v>
      </c>
      <c r="B2" s="19">
        <v>300</v>
      </c>
      <c r="D2" s="30" t="s">
        <v>6</v>
      </c>
      <c r="E2" s="6">
        <v>2100</v>
      </c>
      <c r="F2" s="7">
        <f t="dataTable" ref="F2:K12" dt2D="1" dtr="1" r1="B2" r2="B4"/>
        <v>2845000</v>
      </c>
      <c r="G2" s="7">
        <v>3055000</v>
      </c>
      <c r="H2" s="7">
        <v>3265000</v>
      </c>
      <c r="I2" s="7">
        <v>3475000</v>
      </c>
      <c r="J2" s="7">
        <v>3685000</v>
      </c>
      <c r="K2" s="7">
        <v>3895000</v>
      </c>
    </row>
    <row r="3" spans="1:11" ht="16.899999999999999" customHeight="1">
      <c r="A3" s="11" t="s">
        <v>4</v>
      </c>
      <c r="B3" s="27">
        <v>100</v>
      </c>
      <c r="D3" s="31"/>
      <c r="E3" s="6">
        <v>2200</v>
      </c>
      <c r="F3" s="7">
        <v>2985000</v>
      </c>
      <c r="G3" s="7">
        <v>3205000</v>
      </c>
      <c r="H3" s="7">
        <v>3425000</v>
      </c>
      <c r="I3" s="7">
        <v>3645000</v>
      </c>
      <c r="J3" s="7">
        <v>3865000</v>
      </c>
      <c r="K3" s="7">
        <v>4085000</v>
      </c>
    </row>
    <row r="4" spans="1:11" ht="16.899999999999999" customHeight="1">
      <c r="A4" s="18" t="s">
        <v>3</v>
      </c>
      <c r="B4" s="17">
        <v>60475</v>
      </c>
      <c r="D4" s="31"/>
      <c r="E4" s="6">
        <v>2300</v>
      </c>
      <c r="F4" s="7">
        <v>3125000</v>
      </c>
      <c r="G4" s="7">
        <v>3355000</v>
      </c>
      <c r="H4" s="7">
        <v>3585000</v>
      </c>
      <c r="I4" s="7">
        <v>3815000</v>
      </c>
      <c r="J4" s="7">
        <v>4045000</v>
      </c>
      <c r="K4" s="7">
        <v>4275000</v>
      </c>
    </row>
    <row r="5" spans="1:11" ht="16.899999999999999" customHeight="1">
      <c r="A5" s="16" t="s">
        <v>2</v>
      </c>
      <c r="B5" s="23">
        <f>(B2-B3)*B4</f>
        <v>12095000</v>
      </c>
      <c r="D5" s="31"/>
      <c r="E5" s="6">
        <v>2400</v>
      </c>
      <c r="F5" s="7">
        <v>3265000</v>
      </c>
      <c r="G5" s="7">
        <v>3505000</v>
      </c>
      <c r="H5" s="7">
        <v>3745000</v>
      </c>
      <c r="I5" s="7">
        <v>3985000</v>
      </c>
      <c r="J5" s="7">
        <v>4225000</v>
      </c>
      <c r="K5" s="7">
        <v>4465000</v>
      </c>
    </row>
    <row r="6" spans="1:11" ht="16.899999999999999" customHeight="1">
      <c r="A6" s="15"/>
      <c r="B6" s="14"/>
      <c r="D6" s="31"/>
      <c r="E6" s="6">
        <v>2500</v>
      </c>
      <c r="F6" s="7">
        <v>3405000</v>
      </c>
      <c r="G6" s="7">
        <v>3655000</v>
      </c>
      <c r="H6" s="7">
        <v>3905000</v>
      </c>
      <c r="I6" s="7">
        <v>4155000</v>
      </c>
      <c r="J6" s="7">
        <v>4405000</v>
      </c>
      <c r="K6" s="7">
        <v>4655000</v>
      </c>
    </row>
    <row r="7" spans="1:11" ht="16.899999999999999" customHeight="1">
      <c r="A7" s="11" t="s">
        <v>1</v>
      </c>
      <c r="B7" s="10">
        <v>95000</v>
      </c>
      <c r="D7" s="31"/>
      <c r="E7" s="6">
        <v>2600</v>
      </c>
      <c r="F7" s="7">
        <v>3545000</v>
      </c>
      <c r="G7" s="7">
        <v>3805000</v>
      </c>
      <c r="H7" s="7">
        <v>4065000</v>
      </c>
      <c r="I7" s="7">
        <v>4325000</v>
      </c>
      <c r="J7" s="7">
        <v>4585000</v>
      </c>
      <c r="K7" s="7">
        <v>4845000</v>
      </c>
    </row>
    <row r="8" spans="1:11" ht="16.899999999999999" customHeight="1">
      <c r="A8" s="9" t="s">
        <v>0</v>
      </c>
      <c r="B8" s="25">
        <f>B5-B7</f>
        <v>12000000</v>
      </c>
      <c r="D8" s="31"/>
      <c r="E8" s="6">
        <v>2700</v>
      </c>
      <c r="F8" s="7">
        <v>3685000</v>
      </c>
      <c r="G8" s="7">
        <v>3955000</v>
      </c>
      <c r="H8" s="7">
        <v>4225000</v>
      </c>
      <c r="I8" s="7">
        <v>4495000</v>
      </c>
      <c r="J8" s="7">
        <v>4765000</v>
      </c>
      <c r="K8" s="7">
        <v>5035000</v>
      </c>
    </row>
    <row r="9" spans="1:11" ht="16.899999999999999" customHeight="1">
      <c r="A9" s="13"/>
      <c r="B9" s="12"/>
      <c r="D9" s="31"/>
      <c r="E9" s="6">
        <v>2800</v>
      </c>
      <c r="F9" s="7">
        <v>3825000</v>
      </c>
      <c r="G9" s="7">
        <v>4105000</v>
      </c>
      <c r="H9" s="7">
        <v>4385000</v>
      </c>
      <c r="I9" s="7">
        <v>4665000</v>
      </c>
      <c r="J9" s="7">
        <v>4945000</v>
      </c>
      <c r="K9" s="7">
        <v>5225000</v>
      </c>
    </row>
    <row r="10" spans="1:11" ht="16.899999999999999" customHeight="1">
      <c r="A10" s="11"/>
      <c r="B10" s="10"/>
      <c r="D10" s="31"/>
      <c r="E10" s="6">
        <v>2900</v>
      </c>
      <c r="F10" s="7">
        <v>3965000</v>
      </c>
      <c r="G10" s="7">
        <v>4255000</v>
      </c>
      <c r="H10" s="7">
        <v>4545000</v>
      </c>
      <c r="I10" s="7">
        <v>4835000</v>
      </c>
      <c r="J10" s="7">
        <v>5125000</v>
      </c>
      <c r="K10" s="7">
        <v>5415000</v>
      </c>
    </row>
    <row r="11" spans="1:11" ht="16.899999999999999" customHeight="1">
      <c r="A11" s="9"/>
      <c r="B11" s="8"/>
      <c r="D11" s="31"/>
      <c r="E11" s="6">
        <v>3000</v>
      </c>
      <c r="F11" s="7">
        <v>4105000</v>
      </c>
      <c r="G11" s="7">
        <v>4405000</v>
      </c>
      <c r="H11" s="7">
        <v>4705000</v>
      </c>
      <c r="I11" s="7">
        <v>5005000</v>
      </c>
      <c r="J11" s="7">
        <v>5305000</v>
      </c>
      <c r="K11" s="7">
        <v>5605000</v>
      </c>
    </row>
    <row r="12" spans="1:11" ht="16.899999999999999" customHeight="1" thickBot="1">
      <c r="A12" s="3"/>
      <c r="B12" s="3"/>
      <c r="D12" s="32"/>
      <c r="E12" s="6">
        <v>3100</v>
      </c>
      <c r="F12" s="5">
        <v>4245000</v>
      </c>
      <c r="G12" s="5">
        <v>4555000</v>
      </c>
      <c r="H12" s="5">
        <v>4865000</v>
      </c>
      <c r="I12" s="5">
        <v>5175000</v>
      </c>
      <c r="J12" s="5">
        <v>5485000</v>
      </c>
      <c r="K12" s="5">
        <v>5795000</v>
      </c>
    </row>
    <row r="13" spans="1:11" ht="16.899999999999999" customHeight="1" thickBot="1">
      <c r="B13" s="24"/>
      <c r="C13" s="3" t="s">
        <v>9</v>
      </c>
      <c r="F13" s="33" t="s">
        <v>7</v>
      </c>
      <c r="G13" s="34"/>
      <c r="H13" s="34"/>
      <c r="I13" s="34"/>
      <c r="J13" s="34"/>
      <c r="K13" s="35"/>
    </row>
  </sheetData>
  <scenarios current="1" show="0" sqref="M1">
    <scenario name="模擬條件1" locked="1" count="3" user="作者" comment="小洪製造成本系統模擬">
      <inputCells r="B1" val="成品螺絲型號2"/>
      <inputCells r="B2" val="566" numFmtId="176"/>
      <inputCells r="B3" val="500" numFmtId="176"/>
    </scenario>
    <scenario name="模擬條件2" locked="1" count="3" user="作者" comment="小洪產品2">
      <inputCells r="B1" val="成品螺絲型號3"/>
      <inputCells r="B2" val="666" numFmtId="176"/>
      <inputCells r="B3" val="600" numFmtId="176"/>
    </scenario>
  </scenarios>
  <mergeCells count="2">
    <mergeCell ref="D2:D12"/>
    <mergeCell ref="F13:K13"/>
  </mergeCells>
  <phoneticPr fontId="2" type="noConversion"/>
  <conditionalFormatting sqref="F2:K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停損點</vt:lpstr>
      <vt:lpstr>停利點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2023-03-18T04:18:31Z</dcterms:modified>
</cp:coreProperties>
</file>