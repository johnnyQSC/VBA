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38D4999D-9483-45B2-8D8E-C70405475FCD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南科廠" sheetId="5" r:id="rId1"/>
    <sheet name="中科廠" sheetId="6" r:id="rId2"/>
    <sheet name="竹科二廠" sheetId="7" r:id="rId3"/>
    <sheet name="竹科一廠" sheetId="8" r:id="rId4"/>
  </sheets>
  <definedNames>
    <definedName name="solver_adj" localSheetId="1" hidden="1">中科廠!$F$4:$F$6</definedName>
    <definedName name="solver_adj" localSheetId="3" hidden="1">竹科一廠!$F$4:$F$6</definedName>
    <definedName name="solver_adj" localSheetId="2" hidden="1">竹科二廠!$F$4:$F$6</definedName>
    <definedName name="solver_adj" localSheetId="0" hidden="1">南科廠!$F$4:$F$6</definedName>
    <definedName name="solver_eng" localSheetId="1" hidden="1">2</definedName>
    <definedName name="solver_eng" localSheetId="3" hidden="1">2</definedName>
    <definedName name="solver_eng" localSheetId="2" hidden="1">2</definedName>
    <definedName name="solver_eng" localSheetId="0" hidden="1">2</definedName>
    <definedName name="solver_lhs1" localSheetId="1" hidden="1">中科廠!$C$9</definedName>
    <definedName name="solver_lhs1" localSheetId="3" hidden="1">竹科一廠!$C$9</definedName>
    <definedName name="solver_lhs1" localSheetId="2" hidden="1">竹科二廠!$C$9</definedName>
    <definedName name="solver_lhs1" localSheetId="0" hidden="1">南科廠!$C$9</definedName>
    <definedName name="solver_lhs2" localSheetId="1" hidden="1">中科廠!$C$10</definedName>
    <definedName name="solver_lhs2" localSheetId="3" hidden="1">竹科一廠!$C$10</definedName>
    <definedName name="solver_lhs2" localSheetId="2" hidden="1">竹科二廠!$C$10</definedName>
    <definedName name="solver_lhs2" localSheetId="0" hidden="1">南科廠!$C$10</definedName>
    <definedName name="solver_lhs3" localSheetId="1" hidden="1">中科廠!$F$4</definedName>
    <definedName name="solver_lhs3" localSheetId="3" hidden="1">竹科一廠!$F$4</definedName>
    <definedName name="solver_lhs3" localSheetId="2" hidden="1">竹科二廠!$F$4</definedName>
    <definedName name="solver_lhs3" localSheetId="0" hidden="1">南科廠!$F$4</definedName>
    <definedName name="solver_lhs4" localSheetId="1" hidden="1">中科廠!$F$5</definedName>
    <definedName name="solver_lhs4" localSheetId="3" hidden="1">竹科一廠!$F$5</definedName>
    <definedName name="solver_lhs4" localSheetId="2" hidden="1">竹科二廠!$F$5</definedName>
    <definedName name="solver_lhs4" localSheetId="0" hidden="1">南科廠!$F$5</definedName>
    <definedName name="solver_lhs5" localSheetId="1" hidden="1">中科廠!$F$6</definedName>
    <definedName name="solver_lhs5" localSheetId="3" hidden="1">竹科一廠!$F$6</definedName>
    <definedName name="solver_lhs5" localSheetId="2" hidden="1">竹科二廠!$F$6</definedName>
    <definedName name="solver_lhs5" localSheetId="0" hidden="1">南科廠!$F$6</definedName>
    <definedName name="solver_lhs6" localSheetId="1" hidden="1">中科廠!$F$4</definedName>
    <definedName name="solver_lhs6" localSheetId="3" hidden="1">竹科一廠!$F$4</definedName>
    <definedName name="solver_lhs6" localSheetId="2" hidden="1">竹科二廠!$F$4</definedName>
    <definedName name="solver_lhs6" localSheetId="0" hidden="1">南科廠!$F$4</definedName>
    <definedName name="solver_lhs7" localSheetId="1" hidden="1">中科廠!$F$5</definedName>
    <definedName name="solver_lhs7" localSheetId="3" hidden="1">竹科一廠!$F$5</definedName>
    <definedName name="solver_lhs7" localSheetId="2" hidden="1">竹科二廠!$F$5</definedName>
    <definedName name="solver_lhs7" localSheetId="0" hidden="1">南科廠!$F$5</definedName>
    <definedName name="solver_lhs8" localSheetId="1" hidden="1">中科廠!$F$6</definedName>
    <definedName name="solver_lhs8" localSheetId="3" hidden="1">竹科一廠!$F$6</definedName>
    <definedName name="solver_lhs8" localSheetId="2" hidden="1">竹科二廠!$F$6</definedName>
    <definedName name="solver_lhs8" localSheetId="0" hidden="1">南科廠!$F$6</definedName>
    <definedName name="solver_neg" localSheetId="1" hidden="1">1</definedName>
    <definedName name="solver_neg" localSheetId="3" hidden="1">1</definedName>
    <definedName name="solver_neg" localSheetId="2" hidden="1">1</definedName>
    <definedName name="solver_neg" localSheetId="0" hidden="1">1</definedName>
    <definedName name="solver_num" localSheetId="1" hidden="1">8</definedName>
    <definedName name="solver_num" localSheetId="3" hidden="1">8</definedName>
    <definedName name="solver_num" localSheetId="2" hidden="1">8</definedName>
    <definedName name="solver_num" localSheetId="0" hidden="1">8</definedName>
    <definedName name="solver_opt" localSheetId="1" hidden="1">中科廠!$C$11</definedName>
    <definedName name="solver_opt" localSheetId="3" hidden="1">竹科一廠!$C$11</definedName>
    <definedName name="solver_opt" localSheetId="2" hidden="1">竹科二廠!$C$11</definedName>
    <definedName name="solver_opt" localSheetId="0" hidden="1">南科廠!$C$11</definedName>
    <definedName name="solver_rel1" localSheetId="1" hidden="1">1</definedName>
    <definedName name="solver_rel1" localSheetId="3" hidden="1">1</definedName>
    <definedName name="solver_rel1" localSheetId="2" hidden="1">1</definedName>
    <definedName name="solver_rel1" localSheetId="0" hidden="1">1</definedName>
    <definedName name="solver_rel2" localSheetId="1" hidden="1">1</definedName>
    <definedName name="solver_rel2" localSheetId="3" hidden="1">1</definedName>
    <definedName name="solver_rel2" localSheetId="2" hidden="1">1</definedName>
    <definedName name="solver_rel2" localSheetId="0" hidden="1">1</definedName>
    <definedName name="solver_rel3" localSheetId="1" hidden="1">4</definedName>
    <definedName name="solver_rel3" localSheetId="3" hidden="1">4</definedName>
    <definedName name="solver_rel3" localSheetId="2" hidden="1">4</definedName>
    <definedName name="solver_rel3" localSheetId="0" hidden="1">4</definedName>
    <definedName name="solver_rel4" localSheetId="1" hidden="1">4</definedName>
    <definedName name="solver_rel4" localSheetId="3" hidden="1">4</definedName>
    <definedName name="solver_rel4" localSheetId="2" hidden="1">4</definedName>
    <definedName name="solver_rel4" localSheetId="0" hidden="1">4</definedName>
    <definedName name="solver_rel5" localSheetId="1" hidden="1">4</definedName>
    <definedName name="solver_rel5" localSheetId="3" hidden="1">4</definedName>
    <definedName name="solver_rel5" localSheetId="2" hidden="1">4</definedName>
    <definedName name="solver_rel5" localSheetId="0" hidden="1">4</definedName>
    <definedName name="solver_rel6" localSheetId="1" hidden="1">3</definedName>
    <definedName name="solver_rel6" localSheetId="3" hidden="1">3</definedName>
    <definedName name="solver_rel6" localSheetId="2" hidden="1">3</definedName>
    <definedName name="solver_rel6" localSheetId="0" hidden="1">3</definedName>
    <definedName name="solver_rel7" localSheetId="1" hidden="1">3</definedName>
    <definedName name="solver_rel7" localSheetId="3" hidden="1">3</definedName>
    <definedName name="solver_rel7" localSheetId="2" hidden="1">3</definedName>
    <definedName name="solver_rel7" localSheetId="0" hidden="1">3</definedName>
    <definedName name="solver_rel8" localSheetId="1" hidden="1">3</definedName>
    <definedName name="solver_rel8" localSheetId="3" hidden="1">3</definedName>
    <definedName name="solver_rel8" localSheetId="2" hidden="1">3</definedName>
    <definedName name="solver_rel8" localSheetId="0" hidden="1">3</definedName>
    <definedName name="solver_rhs1" localSheetId="1" hidden="1">中科廠!$C$7</definedName>
    <definedName name="solver_rhs1" localSheetId="3" hidden="1">竹科一廠!$C$7</definedName>
    <definedName name="solver_rhs1" localSheetId="2" hidden="1">竹科二廠!$C$7</definedName>
    <definedName name="solver_rhs1" localSheetId="0" hidden="1">南科廠!$C$7</definedName>
    <definedName name="solver_rhs2" localSheetId="1" hidden="1">中科廠!$C$8</definedName>
    <definedName name="solver_rhs2" localSheetId="3" hidden="1">竹科一廠!$C$8</definedName>
    <definedName name="solver_rhs2" localSheetId="2" hidden="1">竹科二廠!$C$8</definedName>
    <definedName name="solver_rhs2" localSheetId="0" hidden="1">南科廠!$C$8</definedName>
    <definedName name="solver_rhs3" localSheetId="1" hidden="1">整數</definedName>
    <definedName name="solver_rhs3" localSheetId="3" hidden="1">整數</definedName>
    <definedName name="solver_rhs3" localSheetId="2" hidden="1">整數</definedName>
    <definedName name="solver_rhs3" localSheetId="0" hidden="1">整數</definedName>
    <definedName name="solver_rhs4" localSheetId="1" hidden="1">整數</definedName>
    <definedName name="solver_rhs4" localSheetId="3" hidden="1">整數</definedName>
    <definedName name="solver_rhs4" localSheetId="2" hidden="1">整數</definedName>
    <definedName name="solver_rhs4" localSheetId="0" hidden="1">整數</definedName>
    <definedName name="solver_rhs5" localSheetId="1" hidden="1">整數</definedName>
    <definedName name="solver_rhs5" localSheetId="3" hidden="1">整數</definedName>
    <definedName name="solver_rhs5" localSheetId="2" hidden="1">整數</definedName>
    <definedName name="solver_rhs5" localSheetId="0" hidden="1">整數</definedName>
    <definedName name="solver_rhs6" localSheetId="1" hidden="1">0</definedName>
    <definedName name="solver_rhs6" localSheetId="3" hidden="1">0</definedName>
    <definedName name="solver_rhs6" localSheetId="2" hidden="1">0</definedName>
    <definedName name="solver_rhs6" localSheetId="0" hidden="1">0</definedName>
    <definedName name="solver_rhs7" localSheetId="1" hidden="1">0</definedName>
    <definedName name="solver_rhs7" localSheetId="3" hidden="1">0</definedName>
    <definedName name="solver_rhs7" localSheetId="2" hidden="1">0</definedName>
    <definedName name="solver_rhs7" localSheetId="0" hidden="1">0</definedName>
    <definedName name="solver_rhs8" localSheetId="1" hidden="1">0</definedName>
    <definedName name="solver_rhs8" localSheetId="3" hidden="1">0</definedName>
    <definedName name="solver_rhs8" localSheetId="2" hidden="1">0</definedName>
    <definedName name="solver_rhs8" localSheetId="0" hidden="1">0</definedName>
    <definedName name="solver_typ" localSheetId="1" hidden="1">1</definedName>
    <definedName name="solver_typ" localSheetId="3" hidden="1">1</definedName>
    <definedName name="solver_typ" localSheetId="2" hidden="1">1</definedName>
    <definedName name="solver_typ" localSheetId="0" hidden="1">1</definedName>
    <definedName name="solver_val" localSheetId="1" hidden="1">0</definedName>
    <definedName name="solver_val" localSheetId="3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3" hidden="1">3</definedName>
    <definedName name="solver_ver" localSheetId="2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8" l="1"/>
  <c r="C9" i="8"/>
  <c r="G6" i="8"/>
  <c r="G5" i="8"/>
  <c r="G4" i="8"/>
  <c r="C10" i="7"/>
  <c r="C9" i="7"/>
  <c r="G6" i="7"/>
  <c r="G5" i="7"/>
  <c r="G4" i="7"/>
  <c r="C10" i="6"/>
  <c r="C9" i="6"/>
  <c r="G6" i="6"/>
  <c r="G5" i="6"/>
  <c r="G4" i="6"/>
  <c r="C10" i="5"/>
  <c r="C9" i="5"/>
  <c r="G6" i="5"/>
  <c r="G5" i="5"/>
  <c r="G4" i="5"/>
  <c r="C11" i="8" l="1"/>
  <c r="C11" i="7"/>
  <c r="C11" i="6"/>
  <c r="C11" i="5"/>
</calcChain>
</file>

<file path=xl/sharedStrings.xml><?xml version="1.0" encoding="utf-8"?>
<sst xmlns="http://schemas.openxmlformats.org/spreadsheetml/2006/main" count="88" uniqueCount="23">
  <si>
    <t>品名</t>
    <phoneticPr fontId="1" type="noConversion"/>
  </si>
  <si>
    <t>每月原料配額</t>
    <phoneticPr fontId="1" type="noConversion"/>
  </si>
  <si>
    <t>每月生產時間</t>
    <phoneticPr fontId="1" type="noConversion"/>
  </si>
  <si>
    <t>實際原料用量 ( C ) * ( F )</t>
    <phoneticPr fontId="1" type="noConversion"/>
  </si>
  <si>
    <t>實際生產工時 ( D ) * ( F )</t>
    <phoneticPr fontId="1" type="noConversion"/>
  </si>
  <si>
    <t>總收益總和 ( G )</t>
    <phoneticPr fontId="1" type="noConversion"/>
  </si>
  <si>
    <t>毛利合計 ( E ) * ( F )
元</t>
    <phoneticPr fontId="1" type="noConversion"/>
  </si>
  <si>
    <t>&lt;==目標式最大化</t>
    <phoneticPr fontId="1" type="noConversion"/>
  </si>
  <si>
    <r>
      <t>公克</t>
    </r>
    <r>
      <rPr>
        <sz val="12"/>
        <color rgb="FF00B050"/>
        <rFont val="新細明體"/>
        <family val="1"/>
        <charset val="136"/>
        <scheme val="minor"/>
      </rPr>
      <t>(用量上限)</t>
    </r>
    <phoneticPr fontId="1" type="noConversion"/>
  </si>
  <si>
    <r>
      <t>小時</t>
    </r>
    <r>
      <rPr>
        <sz val="12"/>
        <color rgb="FF0000FF"/>
        <rFont val="新細明體"/>
        <family val="1"/>
        <charset val="136"/>
        <scheme val="minor"/>
      </rPr>
      <t>(工時上限)</t>
    </r>
    <phoneticPr fontId="1" type="noConversion"/>
  </si>
  <si>
    <t>&lt;==表示有公式(請自己下公視)</t>
    <phoneticPr fontId="1" type="noConversion"/>
  </si>
  <si>
    <t>&lt;==請根據問題敘述把數值帶入工作表儲存格</t>
    <phoneticPr fontId="1" type="noConversion"/>
  </si>
  <si>
    <t>產量 ( F )個</t>
    <phoneticPr fontId="1" type="noConversion"/>
  </si>
  <si>
    <t>3D口罩</t>
    <phoneticPr fontId="1" type="noConversion"/>
  </si>
  <si>
    <t>醫療口罩</t>
    <phoneticPr fontId="1" type="noConversion"/>
  </si>
  <si>
    <t>&lt;==表示最佳解(決策變數)</t>
    <phoneticPr fontId="1" type="noConversion"/>
  </si>
  <si>
    <t>每單位原料 ( C )
公克/個</t>
    <phoneticPr fontId="1" type="noConversion"/>
  </si>
  <si>
    <t>每單位工時 ( D )
小時/個</t>
    <phoneticPr fontId="1" type="noConversion"/>
  </si>
  <si>
    <t>單位毛利 ( E )
元/個</t>
    <phoneticPr fontId="1" type="noConversion"/>
  </si>
  <si>
    <t>n95口罩</t>
    <phoneticPr fontId="1" type="noConversion"/>
  </si>
  <si>
    <t>公式推導-實際工時C10</t>
    <phoneticPr fontId="1" type="noConversion"/>
  </si>
  <si>
    <t>公式推導-實際用料C9</t>
    <phoneticPr fontId="1" type="noConversion"/>
  </si>
  <si>
    <t>&lt;==表示有公式(請自己下公式)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</si>
</sst>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sz val="12"/>
      <color rgb="FF9933FF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2" fillId="0" borderId="0" xfId="0" quotePrefix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933FF"/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6</xdr:row>
      <xdr:rowOff>0</xdr:rowOff>
    </xdr:from>
    <xdr:to>
      <xdr:col>4</xdr:col>
      <xdr:colOff>60960</xdr:colOff>
      <xdr:row>9</xdr:row>
      <xdr:rowOff>182880</xdr:rowOff>
    </xdr:to>
    <xdr:sp macro="" textlink="">
      <xdr:nvSpPr>
        <xdr:cNvPr id="5" name="右大括弧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38738" y="1843088"/>
          <a:ext cx="260985" cy="79724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B1:J13"/>
  <sheetViews>
    <sheetView workbookViewId="0">
      <selection activeCell="C12" sqref="C12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10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146</v>
      </c>
      <c r="G4" s="3">
        <f>E4*F4</f>
        <v>2190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2</v>
      </c>
      <c r="G5" s="3">
        <f>E5*F5</f>
        <v>10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20</v>
      </c>
      <c r="G6" s="3">
        <f>E6*F6</f>
        <v>400</v>
      </c>
    </row>
    <row r="7" spans="2:10" x14ac:dyDescent="0.4">
      <c r="B7" s="7" t="s">
        <v>1</v>
      </c>
      <c r="C7" s="15">
        <v>5000</v>
      </c>
      <c r="D7" t="s">
        <v>8</v>
      </c>
    </row>
    <row r="8" spans="2:10" x14ac:dyDescent="0.4">
      <c r="B8" s="10" t="s">
        <v>2</v>
      </c>
      <c r="C8" s="15">
        <v>3000</v>
      </c>
      <c r="D8" t="s">
        <v>9</v>
      </c>
    </row>
    <row r="9" spans="2:10" x14ac:dyDescent="0.4">
      <c r="B9" s="7" t="s">
        <v>3</v>
      </c>
      <c r="C9" s="1">
        <f>C4*F4+C5*F5+C6*F6</f>
        <v>5000</v>
      </c>
    </row>
    <row r="10" spans="2:10" x14ac:dyDescent="0.4">
      <c r="B10" s="10" t="s">
        <v>4</v>
      </c>
      <c r="C10" s="1">
        <f>D4*F4+D5*F5+D6*F6</f>
        <v>3000</v>
      </c>
    </row>
    <row r="11" spans="2:10" x14ac:dyDescent="0.4">
      <c r="B11" s="11" t="s">
        <v>5</v>
      </c>
      <c r="C11" s="1">
        <f>G4+G5+G6</f>
        <v>2600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B1:J13"/>
  <sheetViews>
    <sheetView workbookViewId="0">
      <selection activeCell="J1" sqref="J1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22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200</v>
      </c>
      <c r="G4" s="3">
        <f>E4*F4</f>
        <v>3000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0</v>
      </c>
      <c r="G5" s="3">
        <f>E5*F5</f>
        <v>0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0</v>
      </c>
      <c r="G6" s="3">
        <f>E6*F6</f>
        <v>0</v>
      </c>
    </row>
    <row r="7" spans="2:10" x14ac:dyDescent="0.4">
      <c r="B7" s="7" t="s">
        <v>1</v>
      </c>
      <c r="C7" s="15">
        <v>6000</v>
      </c>
      <c r="D7" t="s">
        <v>8</v>
      </c>
    </row>
    <row r="8" spans="2:10" x14ac:dyDescent="0.4">
      <c r="B8" s="10" t="s">
        <v>2</v>
      </c>
      <c r="C8" s="15">
        <v>3000</v>
      </c>
      <c r="D8" t="s">
        <v>9</v>
      </c>
    </row>
    <row r="9" spans="2:10" x14ac:dyDescent="0.4">
      <c r="B9" s="7" t="s">
        <v>3</v>
      </c>
      <c r="C9" s="1">
        <f>C4*F4+C5*F5+C6*F6</f>
        <v>6000</v>
      </c>
    </row>
    <row r="10" spans="2:10" x14ac:dyDescent="0.4">
      <c r="B10" s="10" t="s">
        <v>4</v>
      </c>
      <c r="C10" s="1">
        <f>D4*F4+D5*F5+D6*F6</f>
        <v>3000</v>
      </c>
    </row>
    <row r="11" spans="2:10" x14ac:dyDescent="0.4">
      <c r="B11" s="11" t="s">
        <v>5</v>
      </c>
      <c r="C11" s="1">
        <f>G4+G5+G6</f>
        <v>3000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B1:J13"/>
  <sheetViews>
    <sheetView workbookViewId="0">
      <selection activeCell="J1" sqref="J1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22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2933</v>
      </c>
      <c r="G4" s="3">
        <f>E4*F4</f>
        <v>43995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1</v>
      </c>
      <c r="G5" s="3">
        <f>E5*F5</f>
        <v>5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400</v>
      </c>
      <c r="G6" s="3">
        <f>E6*F6</f>
        <v>8000</v>
      </c>
    </row>
    <row r="7" spans="2:10" x14ac:dyDescent="0.4">
      <c r="B7" s="7" t="s">
        <v>1</v>
      </c>
      <c r="C7" s="15">
        <v>100000</v>
      </c>
      <c r="D7" t="s">
        <v>8</v>
      </c>
    </row>
    <row r="8" spans="2:10" x14ac:dyDescent="0.4">
      <c r="B8" s="10" t="s">
        <v>2</v>
      </c>
      <c r="C8" s="15">
        <v>60000</v>
      </c>
      <c r="D8" t="s">
        <v>9</v>
      </c>
    </row>
    <row r="9" spans="2:10" x14ac:dyDescent="0.4">
      <c r="B9" s="7" t="s">
        <v>3</v>
      </c>
      <c r="C9" s="1">
        <f>C4*F4+C5*F5+C6*F6</f>
        <v>100000</v>
      </c>
    </row>
    <row r="10" spans="2:10" x14ac:dyDescent="0.4">
      <c r="B10" s="10" t="s">
        <v>4</v>
      </c>
      <c r="C10" s="1">
        <f>D4*F4+D5*F5+D6*F6</f>
        <v>60000</v>
      </c>
    </row>
    <row r="11" spans="2:10" x14ac:dyDescent="0.4">
      <c r="B11" s="11" t="s">
        <v>5</v>
      </c>
      <c r="C11" s="1">
        <f>G4+G5+G6</f>
        <v>52000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B1:J13"/>
  <sheetViews>
    <sheetView tabSelected="1" workbookViewId="0">
      <selection activeCell="J1" sqref="J1"/>
    </sheetView>
  </sheetViews>
  <sheetFormatPr defaultRowHeight="17" x14ac:dyDescent="0.4"/>
  <cols>
    <col min="2" max="2" width="26.08984375" bestFit="1" customWidth="1"/>
    <col min="3" max="3" width="21.7265625" bestFit="1" customWidth="1"/>
    <col min="4" max="4" width="17.7265625" bestFit="1" customWidth="1"/>
    <col min="5" max="5" width="7.7265625" bestFit="1" customWidth="1"/>
    <col min="6" max="6" width="8.6328125" bestFit="1" customWidth="1"/>
    <col min="7" max="7" width="7.7265625" bestFit="1" customWidth="1"/>
  </cols>
  <sheetData>
    <row r="1" spans="2:10" x14ac:dyDescent="0.4">
      <c r="I1" s="1"/>
      <c r="J1" s="4" t="s">
        <v>22</v>
      </c>
    </row>
    <row r="2" spans="2:10" x14ac:dyDescent="0.4">
      <c r="I2" s="5"/>
      <c r="J2" s="4" t="s">
        <v>15</v>
      </c>
    </row>
    <row r="3" spans="2:10" ht="85" x14ac:dyDescent="0.4">
      <c r="B3" s="6" t="s">
        <v>0</v>
      </c>
      <c r="C3" s="8" t="s">
        <v>16</v>
      </c>
      <c r="D3" s="9" t="s">
        <v>17</v>
      </c>
      <c r="E3" s="12" t="s">
        <v>18</v>
      </c>
      <c r="F3" s="13" t="s">
        <v>12</v>
      </c>
      <c r="G3" s="12" t="s">
        <v>6</v>
      </c>
      <c r="I3" s="15"/>
      <c r="J3" t="s">
        <v>11</v>
      </c>
    </row>
    <row r="4" spans="2:10" x14ac:dyDescent="0.4">
      <c r="B4" s="6" t="s">
        <v>13</v>
      </c>
      <c r="C4" s="14">
        <v>30</v>
      </c>
      <c r="D4" s="14">
        <v>15</v>
      </c>
      <c r="E4" s="14">
        <v>15</v>
      </c>
      <c r="F4" s="2">
        <v>226</v>
      </c>
      <c r="G4" s="3">
        <f>E4*F4</f>
        <v>3390</v>
      </c>
    </row>
    <row r="5" spans="2:10" x14ac:dyDescent="0.4">
      <c r="B5" s="6" t="s">
        <v>14</v>
      </c>
      <c r="C5" s="14">
        <v>10</v>
      </c>
      <c r="D5" s="14">
        <v>5</v>
      </c>
      <c r="E5" s="14">
        <v>5</v>
      </c>
      <c r="F5" s="2">
        <v>2</v>
      </c>
      <c r="G5" s="3">
        <f>E5*F5</f>
        <v>10</v>
      </c>
    </row>
    <row r="6" spans="2:10" x14ac:dyDescent="0.4">
      <c r="B6" s="6" t="s">
        <v>19</v>
      </c>
      <c r="C6" s="14">
        <v>30</v>
      </c>
      <c r="D6" s="14">
        <v>40</v>
      </c>
      <c r="E6" s="14">
        <v>20</v>
      </c>
      <c r="F6" s="2">
        <v>50</v>
      </c>
      <c r="G6" s="3">
        <f>E6*F6</f>
        <v>1000</v>
      </c>
    </row>
    <row r="7" spans="2:10" x14ac:dyDescent="0.4">
      <c r="B7" s="7" t="s">
        <v>1</v>
      </c>
      <c r="C7" s="15">
        <v>8300</v>
      </c>
      <c r="D7" t="s">
        <v>8</v>
      </c>
    </row>
    <row r="8" spans="2:10" x14ac:dyDescent="0.4">
      <c r="B8" s="10" t="s">
        <v>2</v>
      </c>
      <c r="C8" s="15">
        <v>5400</v>
      </c>
      <c r="D8" t="s">
        <v>9</v>
      </c>
    </row>
    <row r="9" spans="2:10" x14ac:dyDescent="0.4">
      <c r="B9" s="7" t="s">
        <v>3</v>
      </c>
      <c r="C9" s="1">
        <f>C4*F4+C5*F5+C6*F6</f>
        <v>8300</v>
      </c>
    </row>
    <row r="10" spans="2:10" x14ac:dyDescent="0.4">
      <c r="B10" s="10" t="s">
        <v>4</v>
      </c>
      <c r="C10" s="1">
        <f>D4*F4+D5*F5+D6*F6</f>
        <v>5400</v>
      </c>
    </row>
    <row r="11" spans="2:10" x14ac:dyDescent="0.4">
      <c r="B11" s="11" t="s">
        <v>5</v>
      </c>
      <c r="C11" s="1">
        <f>G4+G5+G6</f>
        <v>4400</v>
      </c>
      <c r="D11" s="16" t="s">
        <v>7</v>
      </c>
    </row>
    <row r="13" spans="2:10" x14ac:dyDescent="0.4">
      <c r="B13" t="s">
        <v>20</v>
      </c>
      <c r="C13" t="s">
        <v>21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南科廠</vt:lpstr>
      <vt:lpstr>中科廠</vt:lpstr>
      <vt:lpstr>竹科二廠</vt:lpstr>
      <vt:lpstr>竹科一廠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Rick-NB</dc:creator>
  <cp:lastModifiedBy>ASUS</cp:lastModifiedBy>
  <dcterms:created xsi:type="dcterms:W3CDTF">2018-12-28T11:27:12Z</dcterms:created>
  <dcterms:modified xsi:type="dcterms:W3CDTF">2023-03-18T05:48:58Z</dcterms:modified>
</cp:coreProperties>
</file>