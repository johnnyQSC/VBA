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EC14F1BE-60EB-4ECB-8A56-A4D759B312D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分析藍本摘要" sheetId="2" r:id="rId1"/>
    <sheet name="題型1" sheetId="1" r:id="rId2"/>
  </sheets>
  <definedNames>
    <definedName name="訂貨成本">題型1!$N$3</definedName>
    <definedName name="庫存上限">題型1!$I$3</definedName>
    <definedName name="單位利潤">題型1!$J$3</definedName>
    <definedName name="單位缺貨">題型1!$K$3</definedName>
    <definedName name="檢驗成本">題型1!$L$3</definedName>
    <definedName name="雜支成本">題型1!$M$3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1" l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" i="1"/>
  <c r="G6" i="1"/>
  <c r="B5" i="1"/>
  <c r="D5" i="1" l="1"/>
  <c r="J5" i="1" s="1"/>
  <c r="E5" i="1" l="1"/>
  <c r="I5" i="1" s="1"/>
  <c r="K5" i="1"/>
  <c r="N5" i="1" l="1"/>
  <c r="M5" i="1"/>
  <c r="B6" i="1"/>
  <c r="D6" i="1" s="1"/>
  <c r="F6" i="1"/>
  <c r="G7" i="1" s="1"/>
  <c r="H8" i="1" s="1"/>
  <c r="L5" i="1"/>
  <c r="O5" i="1" l="1"/>
  <c r="E6" i="1"/>
  <c r="I6" i="1" s="1"/>
  <c r="M6" i="1" s="1"/>
  <c r="K6" i="1"/>
  <c r="J6" i="1"/>
  <c r="B7" i="1" l="1"/>
  <c r="F7" i="1"/>
  <c r="N6" i="1"/>
  <c r="L6" i="1"/>
  <c r="O6" i="1" s="1"/>
  <c r="D7" i="1"/>
  <c r="K7" i="1" s="1"/>
  <c r="G8" i="1" l="1"/>
  <c r="H9" i="1" s="1"/>
  <c r="J7" i="1"/>
  <c r="E7" i="1"/>
  <c r="B8" i="1" s="1"/>
  <c r="I7" i="1" l="1"/>
  <c r="M7" i="1" s="1"/>
  <c r="D8" i="1" l="1"/>
  <c r="K8" i="1" s="1"/>
  <c r="F8" i="1"/>
  <c r="N7" i="1"/>
  <c r="L7" i="1"/>
  <c r="O7" i="1" l="1"/>
  <c r="G9" i="1"/>
  <c r="H10" i="1" s="1"/>
  <c r="J8" i="1"/>
  <c r="E8" i="1"/>
  <c r="B9" i="1" s="1"/>
  <c r="D9" i="1" l="1"/>
  <c r="E9" i="1" s="1"/>
  <c r="I8" i="1"/>
  <c r="M8" i="1" s="1"/>
  <c r="J9" i="1" l="1"/>
  <c r="K9" i="1"/>
  <c r="F9" i="1"/>
  <c r="G10" i="1" s="1"/>
  <c r="H11" i="1" s="1"/>
  <c r="N8" i="1"/>
  <c r="L8" i="1"/>
  <c r="O8" i="1" l="1"/>
  <c r="I9" i="1"/>
  <c r="M9" i="1" s="1"/>
  <c r="B10" i="1"/>
  <c r="F10" i="1" l="1"/>
  <c r="G11" i="1" s="1"/>
  <c r="H12" i="1" s="1"/>
  <c r="N9" i="1"/>
  <c r="L9" i="1"/>
  <c r="D10" i="1"/>
  <c r="O9" i="1" l="1"/>
  <c r="E10" i="1"/>
  <c r="K10" i="1"/>
  <c r="J10" i="1"/>
  <c r="I10" i="1" l="1"/>
  <c r="B11" i="1"/>
  <c r="D11" i="1" s="1"/>
  <c r="N10" i="1" l="1"/>
  <c r="M10" i="1"/>
  <c r="L10" i="1"/>
  <c r="F11" i="1"/>
  <c r="G12" i="1" s="1"/>
  <c r="H13" i="1" s="1"/>
  <c r="E11" i="1"/>
  <c r="K11" i="1"/>
  <c r="J11" i="1"/>
  <c r="O10" i="1" l="1"/>
  <c r="I11" i="1"/>
  <c r="B12" i="1"/>
  <c r="D12" i="1" s="1"/>
  <c r="F12" i="1" l="1"/>
  <c r="G13" i="1" s="1"/>
  <c r="H14" i="1" s="1"/>
  <c r="M11" i="1"/>
  <c r="L11" i="1"/>
  <c r="N11" i="1"/>
  <c r="E12" i="1"/>
  <c r="B13" i="1" s="1"/>
  <c r="K12" i="1"/>
  <c r="J12" i="1"/>
  <c r="O11" i="1" l="1"/>
  <c r="I12" i="1"/>
  <c r="D13" i="1"/>
  <c r="F13" i="1" l="1"/>
  <c r="G14" i="1" s="1"/>
  <c r="H15" i="1" s="1"/>
  <c r="M12" i="1"/>
  <c r="L12" i="1"/>
  <c r="N12" i="1"/>
  <c r="E13" i="1"/>
  <c r="B14" i="1" s="1"/>
  <c r="K13" i="1"/>
  <c r="J13" i="1"/>
  <c r="O12" i="1" l="1"/>
  <c r="I13" i="1"/>
  <c r="D14" i="1"/>
  <c r="K14" i="1" s="1"/>
  <c r="F14" i="1" l="1"/>
  <c r="G15" i="1" s="1"/>
  <c r="H16" i="1" s="1"/>
  <c r="M13" i="1"/>
  <c r="L13" i="1"/>
  <c r="N13" i="1"/>
  <c r="J14" i="1"/>
  <c r="E14" i="1"/>
  <c r="O13" i="1" l="1"/>
  <c r="I14" i="1"/>
  <c r="M14" i="1" s="1"/>
  <c r="B15" i="1"/>
  <c r="F15" i="1" l="1"/>
  <c r="G16" i="1" s="1"/>
  <c r="H17" i="1" s="1"/>
  <c r="N14" i="1"/>
  <c r="L14" i="1"/>
  <c r="D15" i="1"/>
  <c r="O14" i="1" l="1"/>
  <c r="E15" i="1"/>
  <c r="B16" i="1" s="1"/>
  <c r="K15" i="1"/>
  <c r="J15" i="1"/>
  <c r="I15" i="1" l="1"/>
  <c r="D16" i="1"/>
  <c r="K16" i="1" s="1"/>
  <c r="F16" i="1" l="1"/>
  <c r="G17" i="1" s="1"/>
  <c r="H18" i="1" s="1"/>
  <c r="M15" i="1"/>
  <c r="L15" i="1"/>
  <c r="N15" i="1"/>
  <c r="J16" i="1"/>
  <c r="E16" i="1"/>
  <c r="O15" i="1" l="1"/>
  <c r="I16" i="1"/>
  <c r="M16" i="1" s="1"/>
  <c r="B17" i="1"/>
  <c r="D17" i="1" l="1"/>
  <c r="K17" i="1" s="1"/>
  <c r="F17" i="1"/>
  <c r="G18" i="1" s="1"/>
  <c r="H19" i="1" s="1"/>
  <c r="N16" i="1"/>
  <c r="L16" i="1"/>
  <c r="O16" i="1" l="1"/>
  <c r="J17" i="1"/>
  <c r="E17" i="1"/>
  <c r="I17" i="1" l="1"/>
  <c r="M17" i="1" s="1"/>
  <c r="B18" i="1"/>
  <c r="F18" i="1" l="1"/>
  <c r="G19" i="1" s="1"/>
  <c r="H20" i="1" s="1"/>
  <c r="L17" i="1"/>
  <c r="N17" i="1"/>
  <c r="D18" i="1"/>
  <c r="O17" i="1" l="1"/>
  <c r="E18" i="1"/>
  <c r="K18" i="1"/>
  <c r="J18" i="1"/>
  <c r="I18" i="1" l="1"/>
  <c r="B19" i="1"/>
  <c r="D19" i="1" s="1"/>
  <c r="F19" i="1" l="1"/>
  <c r="G20" i="1" s="1"/>
  <c r="H21" i="1" s="1"/>
  <c r="M18" i="1"/>
  <c r="N18" i="1"/>
  <c r="L18" i="1"/>
  <c r="E19" i="1"/>
  <c r="K19" i="1"/>
  <c r="J19" i="1"/>
  <c r="O18" i="1" l="1"/>
  <c r="I19" i="1"/>
  <c r="B20" i="1"/>
  <c r="D20" i="1" s="1"/>
  <c r="K20" i="1" s="1"/>
  <c r="F20" i="1" l="1"/>
  <c r="G21" i="1" s="1"/>
  <c r="H22" i="1" s="1"/>
  <c r="M19" i="1"/>
  <c r="L19" i="1"/>
  <c r="N19" i="1"/>
  <c r="J20" i="1"/>
  <c r="E20" i="1"/>
  <c r="O19" i="1" l="1"/>
  <c r="I20" i="1"/>
  <c r="M20" i="1" s="1"/>
  <c r="B21" i="1"/>
  <c r="D21" i="1" l="1"/>
  <c r="K21" i="1" s="1"/>
  <c r="F21" i="1"/>
  <c r="G22" i="1" s="1"/>
  <c r="H23" i="1" s="1"/>
  <c r="N20" i="1"/>
  <c r="L20" i="1"/>
  <c r="O20" i="1" s="1"/>
  <c r="J21" i="1" l="1"/>
  <c r="E21" i="1"/>
  <c r="I21" i="1" l="1"/>
  <c r="M21" i="1" s="1"/>
  <c r="B22" i="1"/>
  <c r="D22" i="1" l="1"/>
  <c r="F22" i="1"/>
  <c r="G23" i="1" s="1"/>
  <c r="H24" i="1" s="1"/>
  <c r="L21" i="1"/>
  <c r="N21" i="1"/>
  <c r="O21" i="1" l="1"/>
  <c r="E22" i="1"/>
  <c r="K22" i="1"/>
  <c r="J22" i="1"/>
  <c r="I22" i="1" l="1"/>
  <c r="B23" i="1"/>
  <c r="D23" i="1" s="1"/>
  <c r="K23" i="1" s="1"/>
  <c r="L22" i="1" l="1"/>
  <c r="M22" i="1"/>
  <c r="N22" i="1"/>
  <c r="F23" i="1"/>
  <c r="G24" i="1" s="1"/>
  <c r="H25" i="1" s="1"/>
  <c r="J23" i="1"/>
  <c r="E23" i="1"/>
  <c r="O22" i="1" l="1"/>
  <c r="I23" i="1"/>
  <c r="M23" i="1" s="1"/>
  <c r="B24" i="1"/>
  <c r="D24" i="1" l="1"/>
  <c r="F24" i="1"/>
  <c r="G25" i="1" s="1"/>
  <c r="H26" i="1" s="1"/>
  <c r="N23" i="1"/>
  <c r="L23" i="1"/>
  <c r="O23" i="1" s="1"/>
  <c r="E24" i="1" l="1"/>
  <c r="K24" i="1"/>
  <c r="J24" i="1"/>
  <c r="I24" i="1" l="1"/>
  <c r="B25" i="1"/>
  <c r="D25" i="1" s="1"/>
  <c r="K25" i="1" s="1"/>
  <c r="F25" i="1" l="1"/>
  <c r="G26" i="1" s="1"/>
  <c r="H27" i="1" s="1"/>
  <c r="M24" i="1"/>
  <c r="N24" i="1"/>
  <c r="L24" i="1"/>
  <c r="O24" i="1" s="1"/>
  <c r="J25" i="1"/>
  <c r="E25" i="1"/>
  <c r="I25" i="1" l="1"/>
  <c r="M25" i="1" s="1"/>
  <c r="B26" i="1"/>
  <c r="F26" i="1" l="1"/>
  <c r="G27" i="1" s="1"/>
  <c r="H28" i="1" s="1"/>
  <c r="L25" i="1"/>
  <c r="N25" i="1"/>
  <c r="D26" i="1"/>
  <c r="K26" i="1" s="1"/>
  <c r="O25" i="1" l="1"/>
  <c r="J26" i="1"/>
  <c r="E26" i="1"/>
  <c r="I26" i="1" l="1"/>
  <c r="M26" i="1" s="1"/>
  <c r="B27" i="1"/>
  <c r="D27" i="1" l="1"/>
  <c r="F27" i="1"/>
  <c r="G28" i="1" s="1"/>
  <c r="H29" i="1" s="1"/>
  <c r="N26" i="1"/>
  <c r="L26" i="1"/>
  <c r="O26" i="1" l="1"/>
  <c r="E27" i="1"/>
  <c r="B28" i="1" s="1"/>
  <c r="K27" i="1"/>
  <c r="J27" i="1"/>
  <c r="I27" i="1" l="1"/>
  <c r="D28" i="1"/>
  <c r="F28" i="1" l="1"/>
  <c r="G29" i="1" s="1"/>
  <c r="H30" i="1" s="1"/>
  <c r="M27" i="1"/>
  <c r="L27" i="1"/>
  <c r="N27" i="1"/>
  <c r="E28" i="1"/>
  <c r="B29" i="1" s="1"/>
  <c r="K28" i="1"/>
  <c r="J28" i="1"/>
  <c r="O27" i="1" l="1"/>
  <c r="I28" i="1"/>
  <c r="D29" i="1"/>
  <c r="K29" i="1" s="1"/>
  <c r="N28" i="1" l="1"/>
  <c r="M28" i="1"/>
  <c r="F29" i="1"/>
  <c r="G30" i="1" s="1"/>
  <c r="H31" i="1" s="1"/>
  <c r="L28" i="1"/>
  <c r="J29" i="1"/>
  <c r="E29" i="1"/>
  <c r="O28" i="1" l="1"/>
  <c r="I29" i="1"/>
  <c r="M29" i="1" s="1"/>
  <c r="B30" i="1"/>
  <c r="F30" i="1" l="1"/>
  <c r="G31" i="1" s="1"/>
  <c r="H32" i="1" s="1"/>
  <c r="N29" i="1"/>
  <c r="L29" i="1"/>
  <c r="D30" i="1"/>
  <c r="K30" i="1" s="1"/>
  <c r="O29" i="1" l="1"/>
  <c r="J30" i="1"/>
  <c r="E30" i="1"/>
  <c r="I30" i="1" l="1"/>
  <c r="M30" i="1" s="1"/>
  <c r="B31" i="1"/>
  <c r="D31" i="1" l="1"/>
  <c r="F31" i="1"/>
  <c r="G32" i="1" s="1"/>
  <c r="H33" i="1" s="1"/>
  <c r="N30" i="1"/>
  <c r="L30" i="1"/>
  <c r="O30" i="1" s="1"/>
  <c r="E31" i="1" l="1"/>
  <c r="K31" i="1"/>
  <c r="J31" i="1"/>
  <c r="I31" i="1" l="1"/>
  <c r="B32" i="1"/>
  <c r="D32" i="1" s="1"/>
  <c r="K32" i="1" s="1"/>
  <c r="F32" i="1" l="1"/>
  <c r="G33" i="1" s="1"/>
  <c r="H34" i="1" s="1"/>
  <c r="M31" i="1"/>
  <c r="L31" i="1"/>
  <c r="N31" i="1"/>
  <c r="J32" i="1"/>
  <c r="E32" i="1"/>
  <c r="O31" i="1" l="1"/>
  <c r="I32" i="1"/>
  <c r="M32" i="1" s="1"/>
  <c r="B33" i="1"/>
  <c r="D33" i="1" l="1"/>
  <c r="K33" i="1" s="1"/>
  <c r="F33" i="1"/>
  <c r="G34" i="1" s="1"/>
  <c r="H35" i="1" s="1"/>
  <c r="N32" i="1"/>
  <c r="L32" i="1"/>
  <c r="O32" i="1" s="1"/>
  <c r="J33" i="1" l="1"/>
  <c r="E33" i="1"/>
  <c r="I33" i="1" l="1"/>
  <c r="M33" i="1" s="1"/>
  <c r="B34" i="1"/>
  <c r="D34" i="1" l="1"/>
  <c r="F34" i="1"/>
  <c r="G35" i="1" s="1"/>
  <c r="H36" i="1" s="1"/>
  <c r="N33" i="1"/>
  <c r="L33" i="1"/>
  <c r="O33" i="1" l="1"/>
  <c r="E34" i="1"/>
  <c r="K34" i="1"/>
  <c r="J34" i="1"/>
  <c r="I34" i="1" l="1"/>
  <c r="B35" i="1"/>
  <c r="D35" i="1" s="1"/>
  <c r="K35" i="1" s="1"/>
  <c r="L34" i="1" l="1"/>
  <c r="M34" i="1"/>
  <c r="N34" i="1"/>
  <c r="F35" i="1"/>
  <c r="G36" i="1" s="1"/>
  <c r="H37" i="1" s="1"/>
  <c r="J35" i="1"/>
  <c r="E35" i="1"/>
  <c r="O34" i="1" l="1"/>
  <c r="I35" i="1"/>
  <c r="M35" i="1" s="1"/>
  <c r="B36" i="1"/>
  <c r="D36" i="1" l="1"/>
  <c r="K36" i="1" s="1"/>
  <c r="F36" i="1"/>
  <c r="G37" i="1" s="1"/>
  <c r="H38" i="1" s="1"/>
  <c r="N35" i="1"/>
  <c r="L35" i="1"/>
  <c r="O35" i="1" l="1"/>
  <c r="J36" i="1"/>
  <c r="E36" i="1"/>
  <c r="I36" i="1" l="1"/>
  <c r="M36" i="1" s="1"/>
  <c r="B37" i="1"/>
  <c r="D37" i="1" l="1"/>
  <c r="F37" i="1"/>
  <c r="G38" i="1" s="1"/>
  <c r="H39" i="1" s="1"/>
  <c r="N36" i="1"/>
  <c r="L36" i="1"/>
  <c r="O36" i="1" l="1"/>
  <c r="E37" i="1"/>
  <c r="B38" i="1" s="1"/>
  <c r="K37" i="1"/>
  <c r="J37" i="1"/>
  <c r="I37" i="1" l="1"/>
  <c r="D38" i="1"/>
  <c r="F38" i="1" l="1"/>
  <c r="G39" i="1" s="1"/>
  <c r="H40" i="1" s="1"/>
  <c r="M37" i="1"/>
  <c r="L37" i="1"/>
  <c r="N37" i="1"/>
  <c r="E38" i="1"/>
  <c r="K38" i="1"/>
  <c r="J38" i="1"/>
  <c r="O37" i="1" l="1"/>
  <c r="I38" i="1"/>
  <c r="B39" i="1"/>
  <c r="D39" i="1" s="1"/>
  <c r="K39" i="1" s="1"/>
  <c r="L38" i="1" l="1"/>
  <c r="M38" i="1"/>
  <c r="N38" i="1"/>
  <c r="F39" i="1"/>
  <c r="G40" i="1" s="1"/>
  <c r="H41" i="1" s="1"/>
  <c r="J39" i="1"/>
  <c r="E39" i="1"/>
  <c r="O38" i="1" l="1"/>
  <c r="I39" i="1"/>
  <c r="M39" i="1" s="1"/>
  <c r="B40" i="1"/>
  <c r="F40" i="1" l="1"/>
  <c r="G41" i="1" s="1"/>
  <c r="H42" i="1" s="1"/>
  <c r="N39" i="1"/>
  <c r="L39" i="1"/>
  <c r="O39" i="1" s="1"/>
  <c r="D40" i="1"/>
  <c r="K40" i="1" s="1"/>
  <c r="J40" i="1" l="1"/>
  <c r="E40" i="1"/>
  <c r="I40" i="1" l="1"/>
  <c r="M40" i="1" s="1"/>
  <c r="B41" i="1"/>
  <c r="D41" i="1" l="1"/>
  <c r="K41" i="1" s="1"/>
  <c r="F41" i="1"/>
  <c r="G42" i="1" s="1"/>
  <c r="H43" i="1" s="1"/>
  <c r="N40" i="1"/>
  <c r="L40" i="1"/>
  <c r="O40" i="1" l="1"/>
  <c r="J41" i="1"/>
  <c r="E41" i="1"/>
  <c r="I41" i="1" l="1"/>
  <c r="M41" i="1" s="1"/>
  <c r="B42" i="1"/>
  <c r="D42" i="1" l="1"/>
  <c r="K42" i="1" s="1"/>
  <c r="F42" i="1"/>
  <c r="G43" i="1" s="1"/>
  <c r="H44" i="1" s="1"/>
  <c r="N41" i="1"/>
  <c r="L41" i="1"/>
  <c r="O41" i="1" s="1"/>
  <c r="J42" i="1" l="1"/>
  <c r="E42" i="1"/>
  <c r="I42" i="1" l="1"/>
  <c r="M42" i="1" s="1"/>
  <c r="B43" i="1"/>
  <c r="D43" i="1" l="1"/>
  <c r="K43" i="1" s="1"/>
  <c r="F43" i="1"/>
  <c r="G44" i="1" s="1"/>
  <c r="H45" i="1" s="1"/>
  <c r="N42" i="1"/>
  <c r="L42" i="1"/>
  <c r="O42" i="1" s="1"/>
  <c r="J43" i="1" l="1"/>
  <c r="E43" i="1"/>
  <c r="I43" i="1" l="1"/>
  <c r="M43" i="1" s="1"/>
  <c r="B44" i="1"/>
  <c r="D44" i="1" l="1"/>
  <c r="K44" i="1" s="1"/>
  <c r="F44" i="1"/>
  <c r="G45" i="1" s="1"/>
  <c r="H46" i="1" s="1"/>
  <c r="N43" i="1"/>
  <c r="L43" i="1"/>
  <c r="O43" i="1" s="1"/>
  <c r="J44" i="1" l="1"/>
  <c r="E44" i="1"/>
  <c r="I44" i="1" l="1"/>
  <c r="M44" i="1" s="1"/>
  <c r="B45" i="1"/>
  <c r="D45" i="1" l="1"/>
  <c r="K45" i="1" s="1"/>
  <c r="F45" i="1"/>
  <c r="G46" i="1" s="1"/>
  <c r="H47" i="1" s="1"/>
  <c r="N44" i="1"/>
  <c r="L44" i="1"/>
  <c r="O44" i="1" s="1"/>
  <c r="J45" i="1" l="1"/>
  <c r="E45" i="1"/>
  <c r="I45" i="1" l="1"/>
  <c r="M45" i="1" s="1"/>
  <c r="B46" i="1"/>
  <c r="D46" i="1" l="1"/>
  <c r="K46" i="1" s="1"/>
  <c r="F46" i="1"/>
  <c r="G47" i="1" s="1"/>
  <c r="H48" i="1" s="1"/>
  <c r="N45" i="1"/>
  <c r="L45" i="1"/>
  <c r="O45" i="1" s="1"/>
  <c r="J46" i="1" l="1"/>
  <c r="E46" i="1"/>
  <c r="I46" i="1" l="1"/>
  <c r="M46" i="1" s="1"/>
  <c r="B47" i="1"/>
  <c r="F47" i="1" l="1"/>
  <c r="G48" i="1" s="1"/>
  <c r="H49" i="1" s="1"/>
  <c r="N46" i="1"/>
  <c r="L46" i="1"/>
  <c r="O46" i="1" s="1"/>
  <c r="D47" i="1"/>
  <c r="K47" i="1" s="1"/>
  <c r="J47" i="1" l="1"/>
  <c r="E47" i="1"/>
  <c r="I47" i="1" l="1"/>
  <c r="M47" i="1" s="1"/>
  <c r="B48" i="1"/>
  <c r="F48" i="1" l="1"/>
  <c r="G49" i="1" s="1"/>
  <c r="H50" i="1" s="1"/>
  <c r="N47" i="1"/>
  <c r="L47" i="1"/>
  <c r="O47" i="1" s="1"/>
  <c r="D48" i="1"/>
  <c r="K48" i="1" s="1"/>
  <c r="J48" i="1" l="1"/>
  <c r="E48" i="1"/>
  <c r="I48" i="1" l="1"/>
  <c r="M48" i="1" s="1"/>
  <c r="B49" i="1"/>
  <c r="F49" i="1" l="1"/>
  <c r="G50" i="1" s="1"/>
  <c r="H51" i="1" s="1"/>
  <c r="N48" i="1"/>
  <c r="L48" i="1"/>
  <c r="O48" i="1" s="1"/>
  <c r="D49" i="1"/>
  <c r="K49" i="1" s="1"/>
  <c r="J49" i="1" l="1"/>
  <c r="E49" i="1"/>
  <c r="I49" i="1" l="1"/>
  <c r="M49" i="1" s="1"/>
  <c r="B50" i="1"/>
  <c r="D50" i="1" l="1"/>
  <c r="F50" i="1"/>
  <c r="G51" i="1" s="1"/>
  <c r="H52" i="1" s="1"/>
  <c r="N49" i="1"/>
  <c r="L49" i="1"/>
  <c r="O49" i="1" s="1"/>
  <c r="E50" i="1" l="1"/>
  <c r="B51" i="1" s="1"/>
  <c r="K50" i="1"/>
  <c r="J50" i="1"/>
  <c r="I50" i="1" l="1"/>
  <c r="D51" i="1"/>
  <c r="K51" i="1" s="1"/>
  <c r="F51" i="1" l="1"/>
  <c r="G52" i="1" s="1"/>
  <c r="H53" i="1" s="1"/>
  <c r="M50" i="1"/>
  <c r="L50" i="1"/>
  <c r="N50" i="1"/>
  <c r="J51" i="1"/>
  <c r="E51" i="1"/>
  <c r="O50" i="1" l="1"/>
  <c r="I51" i="1"/>
  <c r="M51" i="1" s="1"/>
  <c r="B52" i="1"/>
  <c r="D52" i="1" l="1"/>
  <c r="F52" i="1"/>
  <c r="G53" i="1" s="1"/>
  <c r="H54" i="1" s="1"/>
  <c r="N51" i="1"/>
  <c r="L51" i="1"/>
  <c r="O51" i="1" s="1"/>
  <c r="E52" i="1" l="1"/>
  <c r="B53" i="1" s="1"/>
  <c r="K52" i="1"/>
  <c r="J52" i="1"/>
  <c r="I52" i="1" l="1"/>
  <c r="D53" i="1"/>
  <c r="F53" i="1" l="1"/>
  <c r="G54" i="1" s="1"/>
  <c r="H55" i="1" s="1"/>
  <c r="M52" i="1"/>
  <c r="L52" i="1"/>
  <c r="N52" i="1"/>
  <c r="E53" i="1"/>
  <c r="K53" i="1"/>
  <c r="J53" i="1"/>
  <c r="O52" i="1" l="1"/>
  <c r="I53" i="1"/>
  <c r="B54" i="1"/>
  <c r="D54" i="1" s="1"/>
  <c r="K54" i="1" s="1"/>
  <c r="F54" i="1" l="1"/>
  <c r="G55" i="1" s="1"/>
  <c r="H56" i="1" s="1"/>
  <c r="M53" i="1"/>
  <c r="L53" i="1"/>
  <c r="N53" i="1"/>
  <c r="J54" i="1"/>
  <c r="E54" i="1"/>
  <c r="O53" i="1" l="1"/>
  <c r="I54" i="1"/>
  <c r="M54" i="1" s="1"/>
  <c r="B55" i="1"/>
  <c r="C57" i="1"/>
  <c r="D55" i="1" l="1"/>
  <c r="K55" i="1" s="1"/>
  <c r="F55" i="1"/>
  <c r="G56" i="1" s="1"/>
  <c r="N54" i="1"/>
  <c r="L54" i="1"/>
  <c r="O54" i="1" l="1"/>
  <c r="J55" i="1"/>
  <c r="E55" i="1"/>
  <c r="I55" i="1" l="1"/>
  <c r="M55" i="1" s="1"/>
  <c r="B56" i="1"/>
  <c r="D56" i="1" l="1"/>
  <c r="B57" i="1"/>
  <c r="F56" i="1"/>
  <c r="N55" i="1"/>
  <c r="L55" i="1"/>
  <c r="O55" i="1" s="1"/>
  <c r="E56" i="1" l="1"/>
  <c r="I56" i="1" s="1"/>
  <c r="M56" i="1" s="1"/>
  <c r="K56" i="1"/>
  <c r="K57" i="1" s="1"/>
  <c r="J56" i="1"/>
  <c r="D57" i="1"/>
  <c r="E57" i="1" l="1"/>
  <c r="J57" i="1"/>
  <c r="N56" i="1"/>
  <c r="L56" i="1"/>
  <c r="O56" i="1" s="1"/>
  <c r="O5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F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O(t-1)</t>
        </r>
        <r>
          <rPr>
            <sz val="9"/>
            <color indexed="81"/>
            <rFont val="細明體"/>
            <family val="3"/>
            <charset val="136"/>
          </rPr>
          <t xml:space="preserve">
以t=5為例 5-1=4
對第5週而言,此為第4週下的訂單</t>
        </r>
      </text>
    </comment>
    <comment ref="G4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O(t-2)</t>
        </r>
        <r>
          <rPr>
            <sz val="9"/>
            <color indexed="81"/>
            <rFont val="細明體"/>
            <family val="3"/>
            <charset val="136"/>
          </rPr>
          <t xml:space="preserve">
以</t>
        </r>
        <r>
          <rPr>
            <sz val="9"/>
            <color indexed="81"/>
            <rFont val="Tahoma"/>
            <family val="2"/>
          </rPr>
          <t>t=5</t>
        </r>
        <r>
          <rPr>
            <sz val="9"/>
            <color indexed="81"/>
            <rFont val="細明體"/>
            <family val="3"/>
            <charset val="136"/>
          </rPr>
          <t>為例</t>
        </r>
        <r>
          <rPr>
            <sz val="9"/>
            <color indexed="81"/>
            <rFont val="Tahoma"/>
            <family val="2"/>
          </rPr>
          <t xml:space="preserve"> 5-2=3
</t>
        </r>
        <r>
          <rPr>
            <sz val="9"/>
            <color indexed="81"/>
            <rFont val="細明體"/>
            <family val="3"/>
            <charset val="136"/>
          </rPr>
          <t>對第</t>
        </r>
        <r>
          <rPr>
            <sz val="9"/>
            <color indexed="81"/>
            <rFont val="Tahoma"/>
            <family val="2"/>
          </rPr>
          <t>5</t>
        </r>
        <r>
          <rPr>
            <sz val="9"/>
            <color indexed="81"/>
            <rFont val="細明體"/>
            <family val="3"/>
            <charset val="136"/>
          </rPr>
          <t>週而言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此為第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細明體"/>
            <family val="3"/>
            <charset val="136"/>
          </rPr>
          <t>週下的訂單</t>
        </r>
      </text>
    </comment>
    <comment ref="H4" authorId="0" shapeId="0" xr:uid="{00000000-0006-0000-0100-000003000000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O(t-2)
</t>
        </r>
        <r>
          <rPr>
            <sz val="9"/>
            <color indexed="81"/>
            <rFont val="細明體"/>
            <family val="3"/>
            <charset val="136"/>
          </rPr>
          <t>以</t>
        </r>
        <r>
          <rPr>
            <sz val="9"/>
            <color indexed="81"/>
            <rFont val="Tahoma"/>
            <family val="2"/>
          </rPr>
          <t>t=5</t>
        </r>
        <r>
          <rPr>
            <sz val="9"/>
            <color indexed="81"/>
            <rFont val="細明體"/>
            <family val="3"/>
            <charset val="136"/>
          </rPr>
          <t>為例</t>
        </r>
        <r>
          <rPr>
            <sz val="9"/>
            <color indexed="81"/>
            <rFont val="Tahoma"/>
            <family val="2"/>
          </rPr>
          <t xml:space="preserve"> 5-3=2
</t>
        </r>
        <r>
          <rPr>
            <sz val="9"/>
            <color indexed="81"/>
            <rFont val="細明體"/>
            <family val="3"/>
            <charset val="136"/>
          </rPr>
          <t>對第</t>
        </r>
        <r>
          <rPr>
            <sz val="9"/>
            <color indexed="81"/>
            <rFont val="Tahoma"/>
            <family val="2"/>
          </rPr>
          <t>5</t>
        </r>
        <r>
          <rPr>
            <sz val="9"/>
            <color indexed="81"/>
            <rFont val="細明體"/>
            <family val="3"/>
            <charset val="136"/>
          </rPr>
          <t>週而言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此為第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細明體"/>
            <family val="3"/>
            <charset val="136"/>
          </rPr>
          <t>週下的訂單</t>
        </r>
      </text>
    </comment>
    <comment ref="F6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t=2
</t>
        </r>
        <r>
          <rPr>
            <sz val="9"/>
            <color indexed="81"/>
            <rFont val="細明體"/>
            <family val="3"/>
            <charset val="136"/>
          </rPr>
          <t>第二週在途</t>
        </r>
        <r>
          <rPr>
            <sz val="9"/>
            <color indexed="81"/>
            <rFont val="Tahoma"/>
            <family val="2"/>
          </rPr>
          <t>1 O(t-1)=O(1),</t>
        </r>
        <r>
          <rPr>
            <sz val="9"/>
            <color indexed="81"/>
            <rFont val="細明體"/>
            <family val="3"/>
            <charset val="136"/>
          </rPr>
          <t>所以請查找第1週訂貨量欄位</t>
        </r>
      </text>
    </comment>
    <comment ref="G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t=3
</t>
        </r>
        <r>
          <rPr>
            <sz val="9"/>
            <color indexed="81"/>
            <rFont val="細明體"/>
            <family val="3"/>
            <charset val="136"/>
          </rPr>
          <t>第三週在途</t>
        </r>
        <r>
          <rPr>
            <sz val="9"/>
            <color indexed="81"/>
            <rFont val="Tahoma"/>
            <family val="2"/>
          </rPr>
          <t>2 O(t-2)=O(1),</t>
        </r>
        <r>
          <rPr>
            <sz val="9"/>
            <color indexed="81"/>
            <rFont val="細明體"/>
            <family val="3"/>
            <charset val="136"/>
          </rPr>
          <t>所以請查找第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細明體"/>
            <family val="3"/>
            <charset val="136"/>
          </rPr>
          <t>週訂貨量欄位</t>
        </r>
      </text>
    </comment>
    <comment ref="H8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t=4
</t>
        </r>
        <r>
          <rPr>
            <sz val="9"/>
            <color indexed="81"/>
            <rFont val="細明體"/>
            <family val="3"/>
            <charset val="136"/>
          </rPr>
          <t>第四週在途</t>
        </r>
        <r>
          <rPr>
            <sz val="9"/>
            <color indexed="81"/>
            <rFont val="Tahoma"/>
            <family val="2"/>
          </rPr>
          <t>3 O(t-3)=O(1),</t>
        </r>
        <r>
          <rPr>
            <sz val="9"/>
            <color indexed="81"/>
            <rFont val="細明體"/>
            <family val="3"/>
            <charset val="136"/>
          </rPr>
          <t>所以請查找第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細明體"/>
            <family val="3"/>
            <charset val="136"/>
          </rPr>
          <t>週訂貨量欄位</t>
        </r>
      </text>
    </comment>
    <comment ref="B9" authorId="0" shapeId="0" xr:uid="{00000000-0006-0000-0100-000007000000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由於第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細明體"/>
            <family val="3"/>
            <charset val="136"/>
          </rPr>
          <t>週訂的貨第</t>
        </r>
        <r>
          <rPr>
            <sz val="9"/>
            <color indexed="81"/>
            <rFont val="Tahoma"/>
            <family val="2"/>
          </rPr>
          <t>5</t>
        </r>
        <r>
          <rPr>
            <sz val="9"/>
            <color indexed="81"/>
            <rFont val="細明體"/>
            <family val="3"/>
            <charset val="136"/>
          </rPr>
          <t>週會到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故要加上</t>
        </r>
        <r>
          <rPr>
            <sz val="9"/>
            <color indexed="81"/>
            <rFont val="Tahoma"/>
            <family val="2"/>
          </rPr>
          <t>o(1)</t>
        </r>
      </text>
    </comment>
  </commentList>
</comments>
</file>

<file path=xl/sharedStrings.xml><?xml version="1.0" encoding="utf-8"?>
<sst xmlns="http://schemas.openxmlformats.org/spreadsheetml/2006/main" count="48" uniqueCount="47">
  <si>
    <t>單位利潤</t>
    <phoneticPr fontId="5" type="noConversion"/>
  </si>
  <si>
    <t>單位缺貨</t>
    <phoneticPr fontId="5" type="noConversion"/>
  </si>
  <si>
    <t>期初庫存</t>
    <phoneticPr fontId="5" type="noConversion"/>
  </si>
  <si>
    <t>顧客需求</t>
  </si>
  <si>
    <t>銷售量</t>
    <phoneticPr fontId="8" type="noConversion"/>
  </si>
  <si>
    <t>期末庫存</t>
    <phoneticPr fontId="5" type="noConversion"/>
  </si>
  <si>
    <t>銷售利潤</t>
    <phoneticPr fontId="5" type="noConversion"/>
  </si>
  <si>
    <t>缺貨損失</t>
    <phoneticPr fontId="5" type="noConversion"/>
  </si>
  <si>
    <t>訂貨成本</t>
    <phoneticPr fontId="5" type="noConversion"/>
  </si>
  <si>
    <t>盈餘</t>
    <phoneticPr fontId="5" type="noConversion"/>
  </si>
  <si>
    <r>
      <rPr>
        <sz val="11"/>
        <rFont val="細明體"/>
        <family val="3"/>
        <charset val="136"/>
      </rPr>
      <t>在途</t>
    </r>
    <r>
      <rPr>
        <sz val="11"/>
        <rFont val="Times New Roman"/>
        <family val="1"/>
      </rPr>
      <t>1(t- 1)</t>
    </r>
    <phoneticPr fontId="8" type="noConversion"/>
  </si>
  <si>
    <r>
      <rPr>
        <sz val="11"/>
        <rFont val="細明體"/>
        <family val="3"/>
        <charset val="136"/>
      </rPr>
      <t>在途</t>
    </r>
    <r>
      <rPr>
        <sz val="11"/>
        <rFont val="Times New Roman"/>
        <family val="1"/>
      </rPr>
      <t>2(t- 2)</t>
    </r>
    <phoneticPr fontId="8" type="noConversion"/>
  </si>
  <si>
    <t>在途3(t-3)</t>
    <phoneticPr fontId="2" type="noConversion"/>
  </si>
  <si>
    <t>Week(t)</t>
    <phoneticPr fontId="8" type="noConversion"/>
  </si>
  <si>
    <t>訂貨量O</t>
    <phoneticPr fontId="5" type="noConversion"/>
  </si>
  <si>
    <t>庫存上限</t>
    <phoneticPr fontId="5" type="noConversion"/>
  </si>
  <si>
    <t>目標儲存格為N56</t>
    <phoneticPr fontId="2" type="noConversion"/>
  </si>
  <si>
    <t>隨機亂數模擬</t>
    <phoneticPr fontId="2" type="noConversion"/>
  </si>
  <si>
    <t>請將右上紅色框設定以分析藍本方式進行模擬預測</t>
    <phoneticPr fontId="2" type="noConversion"/>
  </si>
  <si>
    <t>模擬假設:第1週訂單第5週才送達</t>
    <phoneticPr fontId="2" type="noConversion"/>
  </si>
  <si>
    <t>分析藍本參數值(本題題目,請用分析藍本)</t>
    <phoneticPr fontId="2" type="noConversion"/>
  </si>
  <si>
    <t>檢驗成本</t>
    <phoneticPr fontId="8" type="noConversion"/>
  </si>
  <si>
    <t>雜支成本</t>
    <phoneticPr fontId="2" type="noConversion"/>
  </si>
  <si>
    <t>檢驗成本</t>
    <phoneticPr fontId="2" type="noConversion"/>
  </si>
  <si>
    <t>雜支成本</t>
    <phoneticPr fontId="2" type="noConversion"/>
  </si>
  <si>
    <t>庫存上限</t>
  </si>
  <si>
    <t>單位利潤</t>
  </si>
  <si>
    <t>單位缺貨</t>
  </si>
  <si>
    <t>檢驗成本</t>
  </si>
  <si>
    <t>雜支成本</t>
  </si>
  <si>
    <t>訂貨成本</t>
  </si>
  <si>
    <t>$O$57</t>
  </si>
  <si>
    <t>模擬1</t>
  </si>
  <si>
    <t>建立者:B10821018_楊得生_4/25
此模擬為條件1之測試</t>
  </si>
  <si>
    <t>模擬2</t>
  </si>
  <si>
    <t>建立者:B10821018_楊得生_4/25
此模擬為條件2之測試</t>
  </si>
  <si>
    <t>模擬3</t>
  </si>
  <si>
    <t>建立者:B10821018_楊得生_4/25
此模擬為條件3之測試</t>
  </si>
  <si>
    <t>模擬4</t>
  </si>
  <si>
    <t>建立者:B10821018_楊得生_4/25
此模擬為條件4之測試</t>
  </si>
  <si>
    <t>分析藍本摘要</t>
  </si>
  <si>
    <t>變數儲存格:</t>
  </si>
  <si>
    <t>現用值:</t>
  </si>
  <si>
    <t>目標儲存格:</t>
  </si>
  <si>
    <t>備註: 現用值欄位是在建立分析藍本</t>
  </si>
  <si>
    <t>摘要時所使用變數儲存格的值。</t>
  </si>
  <si>
    <t>每組變數儲存格均以灰網顯示。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</si>
</sst>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* #,##0.00_-;\-&quot;$&quot;* #,##0.00_-;_-&quot;$&quot;* &quot;-&quot;??_-;_-@_-"/>
    <numFmt numFmtId="176" formatCode="&quot;$&quot;#,##0"/>
    <numFmt numFmtId="177" formatCode="&quot;$&quot;#,##0_);[Red]\(&quot;$&quot;#,##0\)"/>
    <numFmt numFmtId="178" formatCode="&quot;$&quot;#,##0.00_);[Red]\(&quot;$&quot;#,##0.00\)"/>
    <numFmt numFmtId="179" formatCode="&quot;$&quot;#,##0.0_);[Red]\(&quot;$&quot;#,##0.0\)"/>
  </numFmts>
  <fonts count="25" x14ac:knownFonts="1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Times New Roman"/>
      <family val="1"/>
    </font>
    <font>
      <sz val="11"/>
      <color theme="1"/>
      <name val="細明體"/>
      <family val="3"/>
      <charset val="136"/>
    </font>
    <font>
      <sz val="9"/>
      <name val="新細明體"/>
      <family val="1"/>
      <charset val="136"/>
    </font>
    <font>
      <sz val="12"/>
      <name val="細明體"/>
      <family val="3"/>
      <charset val="136"/>
    </font>
    <font>
      <sz val="12"/>
      <color rgb="FFFF0000"/>
      <name val="Times New Roman"/>
      <family val="1"/>
    </font>
    <font>
      <sz val="9"/>
      <name val="Calibri"/>
      <family val="2"/>
      <charset val="136"/>
    </font>
    <font>
      <sz val="11"/>
      <name val="細明體"/>
      <family val="3"/>
      <charset val="136"/>
    </font>
    <font>
      <sz val="11"/>
      <name val="Times New Roman"/>
      <family val="1"/>
    </font>
    <font>
      <sz val="12"/>
      <color rgb="FFC00000"/>
      <name val="Times New Roman"/>
      <family val="1"/>
    </font>
    <font>
      <b/>
      <sz val="12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sz val="11"/>
      <name val="新細明體"/>
      <family val="2"/>
      <scheme val="minor"/>
    </font>
    <font>
      <b/>
      <sz val="11"/>
      <color indexed="9"/>
      <name val="新細明體"/>
      <family val="2"/>
      <scheme val="minor"/>
    </font>
    <font>
      <b/>
      <sz val="11"/>
      <color indexed="9"/>
      <name val="新細明體"/>
      <family val="1"/>
      <charset val="136"/>
      <scheme val="minor"/>
    </font>
    <font>
      <b/>
      <sz val="11"/>
      <color indexed="8"/>
      <name val="新細明體"/>
      <family val="2"/>
      <scheme val="minor"/>
    </font>
    <font>
      <b/>
      <sz val="11"/>
      <color indexed="18"/>
      <name val="新細明體"/>
      <family val="2"/>
      <scheme val="minor"/>
    </font>
    <font>
      <b/>
      <sz val="11"/>
      <color indexed="18"/>
      <name val="新細明體"/>
      <family val="1"/>
      <charset val="136"/>
      <scheme val="minor"/>
    </font>
    <font>
      <sz val="11"/>
      <color indexed="9"/>
      <name val="新細明體"/>
      <family val="2"/>
      <scheme val="minor"/>
    </font>
    <font>
      <sz val="10"/>
      <color theme="1"/>
      <name val="新細明體"/>
      <family val="1"/>
      <charset val="136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FF0000"/>
      </left>
      <right/>
      <top style="medium">
        <color rgb="FFFF0000"/>
      </top>
      <bottom style="thin">
        <color indexed="64"/>
      </bottom>
      <diagonal/>
    </border>
    <border>
      <left/>
      <right/>
      <top style="medium">
        <color rgb="FFFF0000"/>
      </top>
      <bottom style="thin">
        <color indexed="64"/>
      </bottom>
      <diagonal/>
    </border>
    <border>
      <left/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>
      <alignment vertical="center"/>
    </xf>
  </cellStyleXfs>
  <cellXfs count="77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/>
    <xf numFmtId="0" fontId="0" fillId="0" borderId="0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3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176" fontId="3" fillId="0" borderId="0" xfId="0" applyNumberFormat="1" applyFont="1" applyBorder="1" applyAlignment="1">
      <alignment horizontal="center"/>
    </xf>
    <xf numFmtId="176" fontId="3" fillId="0" borderId="5" xfId="0" applyNumberFormat="1" applyFont="1" applyBorder="1" applyAlignment="1">
      <alignment horizontal="center"/>
    </xf>
    <xf numFmtId="0" fontId="0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0" fontId="0" fillId="3" borderId="3" xfId="0" applyFont="1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11" fillId="0" borderId="0" xfId="0" applyFont="1" applyBorder="1" applyAlignment="1"/>
    <xf numFmtId="0" fontId="3" fillId="0" borderId="0" xfId="0" applyNumberFormat="1" applyFont="1" applyBorder="1" applyAlignment="1"/>
    <xf numFmtId="0" fontId="0" fillId="0" borderId="6" xfId="0" applyBorder="1" applyAlignment="1">
      <alignment horizontal="center" vertical="center"/>
    </xf>
    <xf numFmtId="2" fontId="3" fillId="4" borderId="1" xfId="0" applyNumberFormat="1" applyFont="1" applyFill="1" applyBorder="1" applyAlignment="1"/>
    <xf numFmtId="2" fontId="3" fillId="4" borderId="2" xfId="0" applyNumberFormat="1" applyFont="1" applyFill="1" applyBorder="1" applyAlignment="1"/>
    <xf numFmtId="178" fontId="3" fillId="4" borderId="2" xfId="0" applyNumberFormat="1" applyFont="1" applyFill="1" applyBorder="1" applyAlignment="1"/>
    <xf numFmtId="0" fontId="3" fillId="0" borderId="0" xfId="0" applyNumberFormat="1" applyFont="1" applyAlignment="1"/>
    <xf numFmtId="0" fontId="3" fillId="5" borderId="0" xfId="0" applyFont="1" applyFill="1" applyBorder="1" applyAlignment="1"/>
    <xf numFmtId="0" fontId="12" fillId="5" borderId="0" xfId="0" applyFont="1" applyFill="1" applyBorder="1" applyAlignment="1"/>
    <xf numFmtId="0" fontId="3" fillId="5" borderId="0" xfId="0" applyNumberFormat="1" applyFont="1" applyFill="1" applyBorder="1" applyAlignment="1"/>
    <xf numFmtId="177" fontId="3" fillId="5" borderId="0" xfId="1" applyNumberFormat="1" applyFont="1" applyFill="1" applyBorder="1" applyAlignment="1"/>
    <xf numFmtId="177" fontId="3" fillId="5" borderId="0" xfId="0" applyNumberFormat="1" applyFont="1" applyFill="1" applyBorder="1" applyAlignment="1"/>
    <xf numFmtId="177" fontId="3" fillId="5" borderId="5" xfId="0" applyNumberFormat="1" applyFont="1" applyFill="1" applyBorder="1" applyAlignment="1"/>
    <xf numFmtId="0" fontId="3" fillId="2" borderId="0" xfId="0" applyNumberFormat="1" applyFont="1" applyFill="1" applyBorder="1" applyAlignment="1"/>
    <xf numFmtId="0" fontId="3" fillId="2" borderId="7" xfId="0" applyNumberFormat="1" applyFont="1" applyFill="1" applyBorder="1" applyAlignment="1"/>
    <xf numFmtId="177" fontId="3" fillId="2" borderId="0" xfId="1" applyNumberFormat="1" applyFont="1" applyFill="1" applyBorder="1" applyAlignment="1"/>
    <xf numFmtId="177" fontId="3" fillId="2" borderId="0" xfId="0" applyNumberFormat="1" applyFont="1" applyFill="1" applyBorder="1" applyAlignment="1"/>
    <xf numFmtId="177" fontId="3" fillId="2" borderId="5" xfId="0" applyNumberFormat="1" applyFont="1" applyFill="1" applyBorder="1" applyAlignment="1"/>
    <xf numFmtId="0" fontId="3" fillId="2" borderId="0" xfId="0" applyFont="1" applyFill="1" applyBorder="1" applyAlignment="1"/>
    <xf numFmtId="0" fontId="0" fillId="7" borderId="0" xfId="0" applyFill="1"/>
    <xf numFmtId="0" fontId="12" fillId="7" borderId="0" xfId="0" applyFont="1" applyFill="1" applyBorder="1" applyAlignment="1"/>
    <xf numFmtId="0" fontId="17" fillId="5" borderId="4" xfId="0" applyFont="1" applyFill="1" applyBorder="1" applyAlignment="1">
      <alignment horizontal="center" vertical="center"/>
    </xf>
    <xf numFmtId="0" fontId="17" fillId="5" borderId="0" xfId="0" applyFont="1" applyFill="1"/>
    <xf numFmtId="0" fontId="0" fillId="0" borderId="0" xfId="0" applyFill="1"/>
    <xf numFmtId="0" fontId="4" fillId="0" borderId="1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0" fillId="8" borderId="0" xfId="0" applyFill="1"/>
    <xf numFmtId="0" fontId="9" fillId="3" borderId="7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0" fillId="3" borderId="7" xfId="0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0" fontId="0" fillId="6" borderId="9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6" fillId="6" borderId="10" xfId="0" applyFont="1" applyFill="1" applyBorder="1" applyAlignment="1">
      <alignment horizontal="center"/>
    </xf>
    <xf numFmtId="0" fontId="7" fillId="9" borderId="11" xfId="0" applyFont="1" applyFill="1" applyBorder="1" applyAlignment="1">
      <alignment horizontal="center"/>
    </xf>
    <xf numFmtId="176" fontId="3" fillId="9" borderId="12" xfId="0" applyNumberFormat="1" applyFont="1" applyFill="1" applyBorder="1" applyAlignment="1">
      <alignment horizontal="center"/>
    </xf>
    <xf numFmtId="176" fontId="3" fillId="9" borderId="13" xfId="0" applyNumberFormat="1" applyFont="1" applyFill="1" applyBorder="1" applyAlignment="1">
      <alignment horizontal="center"/>
    </xf>
    <xf numFmtId="0" fontId="0" fillId="9" borderId="0" xfId="0" applyFill="1"/>
    <xf numFmtId="179" fontId="3" fillId="8" borderId="3" xfId="0" applyNumberFormat="1" applyFont="1" applyFill="1" applyBorder="1" applyAlignment="1"/>
    <xf numFmtId="0" fontId="0" fillId="0" borderId="0" xfId="0" applyAlignment="1">
      <alignment horizontal="center" vertical="center"/>
    </xf>
    <xf numFmtId="0" fontId="0" fillId="0" borderId="0" xfId="0" applyFill="1" applyBorder="1" applyAlignment="1"/>
    <xf numFmtId="176" fontId="0" fillId="0" borderId="0" xfId="0" applyNumberFormat="1" applyFill="1" applyBorder="1" applyAlignment="1"/>
    <xf numFmtId="179" fontId="0" fillId="0" borderId="15" xfId="0" applyNumberFormat="1" applyFill="1" applyBorder="1" applyAlignment="1"/>
    <xf numFmtId="0" fontId="19" fillId="10" borderId="7" xfId="0" applyFont="1" applyFill="1" applyBorder="1" applyAlignment="1">
      <alignment horizontal="left"/>
    </xf>
    <xf numFmtId="0" fontId="18" fillId="10" borderId="14" xfId="0" applyFont="1" applyFill="1" applyBorder="1" applyAlignment="1">
      <alignment horizontal="left"/>
    </xf>
    <xf numFmtId="0" fontId="19" fillId="10" borderId="14" xfId="0" applyFont="1" applyFill="1" applyBorder="1" applyAlignment="1">
      <alignment horizontal="left"/>
    </xf>
    <xf numFmtId="0" fontId="0" fillId="0" borderId="2" xfId="0" applyFill="1" applyBorder="1" applyAlignment="1"/>
    <xf numFmtId="0" fontId="20" fillId="11" borderId="0" xfId="0" applyFont="1" applyFill="1" applyBorder="1" applyAlignment="1">
      <alignment horizontal="left"/>
    </xf>
    <xf numFmtId="0" fontId="21" fillId="11" borderId="2" xfId="0" applyFont="1" applyFill="1" applyBorder="1" applyAlignment="1">
      <alignment horizontal="left"/>
    </xf>
    <xf numFmtId="0" fontId="22" fillId="11" borderId="2" xfId="0" applyFont="1" applyFill="1" applyBorder="1" applyAlignment="1">
      <alignment horizontal="left"/>
    </xf>
    <xf numFmtId="0" fontId="20" fillId="11" borderId="15" xfId="0" applyFont="1" applyFill="1" applyBorder="1" applyAlignment="1">
      <alignment horizontal="left"/>
    </xf>
    <xf numFmtId="0" fontId="23" fillId="10" borderId="14" xfId="0" applyFont="1" applyFill="1" applyBorder="1" applyAlignment="1">
      <alignment horizontal="right"/>
    </xf>
    <xf numFmtId="0" fontId="23" fillId="10" borderId="7" xfId="0" applyFont="1" applyFill="1" applyBorder="1" applyAlignment="1">
      <alignment horizontal="right"/>
    </xf>
    <xf numFmtId="0" fontId="0" fillId="12" borderId="0" xfId="0" applyFill="1" applyBorder="1" applyAlignment="1"/>
    <xf numFmtId="176" fontId="0" fillId="12" borderId="0" xfId="0" applyNumberFormat="1" applyFill="1" applyBorder="1" applyAlignment="1"/>
    <xf numFmtId="0" fontId="24" fillId="0" borderId="0" xfId="0" applyFont="1" applyFill="1" applyBorder="1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2">
    <cellStyle name="一般" xfId="0" builtinId="0"/>
    <cellStyle name="貨幣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B1:H16"/>
  <sheetViews>
    <sheetView showGridLines="0" tabSelected="1" topLeftCell="A8" workbookViewId="0">
      <selection activeCell="D8" sqref="D8"/>
    </sheetView>
  </sheetViews>
  <sheetFormatPr defaultRowHeight="14.5" outlineLevelRow="1" outlineLevelCol="1" x14ac:dyDescent="0.3"/>
  <cols>
    <col min="3" max="3" width="11" bestFit="1" customWidth="1"/>
    <col min="4" max="8" width="9.59765625" bestFit="1" customWidth="1" outlineLevel="1"/>
  </cols>
  <sheetData>
    <row r="1" spans="2:8" ht="15" thickBot="1" x14ac:dyDescent="0.35"/>
    <row r="2" spans="2:8" x14ac:dyDescent="0.3">
      <c r="B2" s="63" t="s">
        <v>40</v>
      </c>
      <c r="C2" s="64"/>
      <c r="D2" s="70"/>
      <c r="E2" s="70"/>
      <c r="F2" s="70"/>
      <c r="G2" s="70"/>
      <c r="H2" s="70"/>
    </row>
    <row r="3" spans="2:8" collapsed="1" x14ac:dyDescent="0.3">
      <c r="B3" s="62"/>
      <c r="C3" s="62"/>
      <c r="D3" s="71" t="s">
        <v>42</v>
      </c>
      <c r="E3" s="71" t="s">
        <v>32</v>
      </c>
      <c r="F3" s="71" t="s">
        <v>34</v>
      </c>
      <c r="G3" s="71" t="s">
        <v>36</v>
      </c>
      <c r="H3" s="71" t="s">
        <v>38</v>
      </c>
    </row>
    <row r="4" spans="2:8" ht="94.5" hidden="1" outlineLevel="1" x14ac:dyDescent="0.3">
      <c r="B4" s="66"/>
      <c r="C4" s="66"/>
      <c r="D4" s="59"/>
      <c r="E4" s="74" t="s">
        <v>33</v>
      </c>
      <c r="F4" s="74" t="s">
        <v>35</v>
      </c>
      <c r="G4" s="74" t="s">
        <v>37</v>
      </c>
      <c r="H4" s="74" t="s">
        <v>39</v>
      </c>
    </row>
    <row r="5" spans="2:8" x14ac:dyDescent="0.3">
      <c r="B5" s="67" t="s">
        <v>41</v>
      </c>
      <c r="C5" s="68"/>
      <c r="D5" s="65"/>
      <c r="E5" s="65"/>
      <c r="F5" s="65"/>
      <c r="G5" s="65"/>
      <c r="H5" s="65"/>
    </row>
    <row r="6" spans="2:8" outlineLevel="1" x14ac:dyDescent="0.3">
      <c r="B6" s="66"/>
      <c r="C6" s="66" t="s">
        <v>25</v>
      </c>
      <c r="D6" s="59">
        <v>500</v>
      </c>
      <c r="E6" s="72">
        <v>500</v>
      </c>
      <c r="F6" s="72">
        <v>600</v>
      </c>
      <c r="G6" s="72">
        <v>650</v>
      </c>
      <c r="H6" s="72">
        <v>700</v>
      </c>
    </row>
    <row r="7" spans="2:8" outlineLevel="1" x14ac:dyDescent="0.3">
      <c r="B7" s="66"/>
      <c r="C7" s="66" t="s">
        <v>26</v>
      </c>
      <c r="D7" s="60">
        <v>30</v>
      </c>
      <c r="E7" s="73">
        <v>30</v>
      </c>
      <c r="F7" s="73">
        <v>38</v>
      </c>
      <c r="G7" s="73">
        <v>36</v>
      </c>
      <c r="H7" s="73">
        <v>34</v>
      </c>
    </row>
    <row r="8" spans="2:8" outlineLevel="1" x14ac:dyDescent="0.3">
      <c r="B8" s="66"/>
      <c r="C8" s="66" t="s">
        <v>27</v>
      </c>
      <c r="D8" s="60">
        <v>32</v>
      </c>
      <c r="E8" s="73">
        <v>32</v>
      </c>
      <c r="F8" s="73">
        <v>33</v>
      </c>
      <c r="G8" s="73">
        <v>34</v>
      </c>
      <c r="H8" s="73">
        <v>35</v>
      </c>
    </row>
    <row r="9" spans="2:8" outlineLevel="1" x14ac:dyDescent="0.3">
      <c r="B9" s="66"/>
      <c r="C9" s="66" t="s">
        <v>28</v>
      </c>
      <c r="D9" s="60">
        <v>65</v>
      </c>
      <c r="E9" s="73">
        <v>65</v>
      </c>
      <c r="F9" s="73">
        <v>75</v>
      </c>
      <c r="G9" s="73">
        <v>85</v>
      </c>
      <c r="H9" s="73">
        <v>95</v>
      </c>
    </row>
    <row r="10" spans="2:8" outlineLevel="1" x14ac:dyDescent="0.3">
      <c r="B10" s="66"/>
      <c r="C10" s="66" t="s">
        <v>29</v>
      </c>
      <c r="D10" s="60">
        <v>210</v>
      </c>
      <c r="E10" s="73">
        <v>210</v>
      </c>
      <c r="F10" s="73">
        <v>230</v>
      </c>
      <c r="G10" s="73">
        <v>260</v>
      </c>
      <c r="H10" s="73">
        <v>300</v>
      </c>
    </row>
    <row r="11" spans="2:8" outlineLevel="1" x14ac:dyDescent="0.3">
      <c r="B11" s="66"/>
      <c r="C11" s="66" t="s">
        <v>30</v>
      </c>
      <c r="D11" s="60">
        <v>75</v>
      </c>
      <c r="E11" s="73">
        <v>75</v>
      </c>
      <c r="F11" s="73">
        <v>85</v>
      </c>
      <c r="G11" s="73">
        <v>95</v>
      </c>
      <c r="H11" s="73">
        <v>115</v>
      </c>
    </row>
    <row r="12" spans="2:8" x14ac:dyDescent="0.3">
      <c r="B12" s="67" t="s">
        <v>43</v>
      </c>
      <c r="C12" s="68"/>
      <c r="D12" s="65"/>
      <c r="E12" s="65"/>
      <c r="F12" s="65"/>
      <c r="G12" s="65"/>
      <c r="H12" s="65"/>
    </row>
    <row r="13" spans="2:8" ht="15" outlineLevel="1" thickBot="1" x14ac:dyDescent="0.35">
      <c r="B13" s="69"/>
      <c r="C13" s="69" t="s">
        <v>31</v>
      </c>
      <c r="D13" s="61">
        <v>1897.9615384615399</v>
      </c>
      <c r="E13" s="61">
        <v>2045.4230769230801</v>
      </c>
      <c r="F13" s="61">
        <v>4072.1538461538498</v>
      </c>
      <c r="G13" s="61">
        <v>4368.6923076923104</v>
      </c>
      <c r="H13" s="61">
        <v>4582.5384615384601</v>
      </c>
    </row>
    <row r="14" spans="2:8" x14ac:dyDescent="0.3">
      <c r="B14" t="s">
        <v>44</v>
      </c>
    </row>
    <row r="15" spans="2:8" x14ac:dyDescent="0.3">
      <c r="B15" t="s">
        <v>45</v>
      </c>
    </row>
    <row r="16" spans="2:8" x14ac:dyDescent="0.3">
      <c r="B16" t="s">
        <v>46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55"/>
  <sheetViews>
    <sheetView topLeftCell="A24" workbookViewId="0">
      <selection activeCell="O57" sqref="O57"/>
    </sheetView>
  </sheetViews>
  <sheetFormatPr defaultRowHeight="15.5" x14ac:dyDescent="0.35"/>
  <cols>
    <col min="1" max="1" width="7.59765625" style="1" bestFit="1" customWidth="1"/>
    <col min="2" max="3" width="10.296875" style="2" customWidth="1"/>
    <col min="4" max="4" width="9.296875" style="2" customWidth="1"/>
    <col min="5" max="5" width="10.296875" style="2" customWidth="1"/>
    <col min="6" max="7" width="10.59765625" style="2" bestFit="1" customWidth="1"/>
    <col min="8" max="8" width="12" style="2" bestFit="1" customWidth="1"/>
    <col min="9" max="9" width="10.296875" style="2" customWidth="1"/>
    <col min="10" max="10" width="11.09765625" style="2" bestFit="1" customWidth="1"/>
    <col min="11" max="11" width="10.296875" style="2" customWidth="1"/>
    <col min="12" max="12" width="14.296875" style="2" bestFit="1" customWidth="1"/>
    <col min="13" max="13" width="14.296875" style="2" customWidth="1"/>
    <col min="14" max="14" width="15.09765625" style="2" bestFit="1" customWidth="1"/>
    <col min="15" max="15" width="9.296875" style="2" customWidth="1"/>
  </cols>
  <sheetData>
    <row r="1" spans="1:24" ht="16" thickBot="1" x14ac:dyDescent="0.4">
      <c r="A1" s="58"/>
    </row>
    <row r="2" spans="1:24" ht="17" x14ac:dyDescent="0.4">
      <c r="A2" s="75" t="s">
        <v>19</v>
      </c>
      <c r="B2" s="75"/>
      <c r="C2" s="75"/>
      <c r="D2" s="75"/>
      <c r="E2" s="3"/>
      <c r="G2" s="3"/>
      <c r="H2" s="3"/>
      <c r="I2" s="49" t="s">
        <v>15</v>
      </c>
      <c r="J2" s="50" t="s">
        <v>0</v>
      </c>
      <c r="K2" s="51" t="s">
        <v>1</v>
      </c>
      <c r="L2" s="51" t="s">
        <v>23</v>
      </c>
      <c r="M2" s="51" t="s">
        <v>24</v>
      </c>
      <c r="N2" s="52" t="s">
        <v>8</v>
      </c>
      <c r="O2" s="4"/>
      <c r="Q2" s="56"/>
      <c r="R2" t="s">
        <v>20</v>
      </c>
    </row>
    <row r="3" spans="1:24" ht="16" thickBot="1" x14ac:dyDescent="0.4">
      <c r="A3" s="76" t="s">
        <v>18</v>
      </c>
      <c r="B3" s="76"/>
      <c r="C3" s="76"/>
      <c r="D3" s="76"/>
      <c r="E3" s="5"/>
      <c r="G3" s="6"/>
      <c r="H3" s="6"/>
      <c r="I3" s="53">
        <v>500</v>
      </c>
      <c r="J3" s="54">
        <v>30</v>
      </c>
      <c r="K3" s="54">
        <v>32</v>
      </c>
      <c r="L3" s="54">
        <v>65</v>
      </c>
      <c r="M3" s="54">
        <v>210</v>
      </c>
      <c r="N3" s="55">
        <v>75</v>
      </c>
      <c r="O3" s="4"/>
      <c r="Q3" s="36"/>
      <c r="R3" t="s">
        <v>17</v>
      </c>
    </row>
    <row r="4" spans="1:24" ht="14.5" x14ac:dyDescent="0.3">
      <c r="A4" s="10" t="s">
        <v>13</v>
      </c>
      <c r="B4" s="11" t="s">
        <v>2</v>
      </c>
      <c r="C4" s="12" t="s">
        <v>3</v>
      </c>
      <c r="D4" s="13" t="s">
        <v>4</v>
      </c>
      <c r="E4" s="11" t="s">
        <v>5</v>
      </c>
      <c r="F4" s="14" t="s">
        <v>10</v>
      </c>
      <c r="G4" s="14" t="s">
        <v>11</v>
      </c>
      <c r="H4" s="11" t="s">
        <v>12</v>
      </c>
      <c r="I4" s="46" t="s">
        <v>14</v>
      </c>
      <c r="J4" s="46" t="s">
        <v>6</v>
      </c>
      <c r="K4" s="47" t="s">
        <v>7</v>
      </c>
      <c r="L4" s="47" t="s">
        <v>21</v>
      </c>
      <c r="M4" s="47" t="s">
        <v>22</v>
      </c>
      <c r="N4" s="48" t="s">
        <v>8</v>
      </c>
      <c r="O4" s="15" t="s">
        <v>9</v>
      </c>
      <c r="Q4" s="45"/>
      <c r="R4" t="s">
        <v>16</v>
      </c>
    </row>
    <row r="5" spans="1:24" x14ac:dyDescent="0.35">
      <c r="A5" s="16">
        <v>1</v>
      </c>
      <c r="B5" s="17">
        <f>I3</f>
        <v>500</v>
      </c>
      <c r="C5" s="37">
        <f ca="1">RANDBETWEEN(100,250)</f>
        <v>155</v>
      </c>
      <c r="D5" s="35">
        <f ca="1">MIN(B5,C5)</f>
        <v>155</v>
      </c>
      <c r="E5" s="30">
        <f ca="1">B5-D5</f>
        <v>345</v>
      </c>
      <c r="F5" s="18">
        <v>0</v>
      </c>
      <c r="G5" s="18">
        <v>0</v>
      </c>
      <c r="H5" s="18">
        <v>0</v>
      </c>
      <c r="I5" s="30">
        <f ca="1">MAX(I$3-(E5+F5+G5+H5),0)</f>
        <v>155</v>
      </c>
      <c r="J5" s="32">
        <f ca="1">D5*J$3</f>
        <v>4650</v>
      </c>
      <c r="K5" s="33">
        <f ca="1">MAX(0,(C5-D5))*K$3</f>
        <v>0</v>
      </c>
      <c r="L5" s="33">
        <f t="shared" ref="L5:L36" ca="1" si="0">IF(I5&gt;0,L$3,0)</f>
        <v>65</v>
      </c>
      <c r="M5" s="33">
        <f ca="1">IF(I5&gt;0,M$3,0)</f>
        <v>210</v>
      </c>
      <c r="N5" s="33">
        <f t="shared" ref="N5:N36" ca="1" si="1">IF(I5&gt;0,N$3,0)</f>
        <v>75</v>
      </c>
      <c r="O5" s="34">
        <f ca="1">J5-K5-L5-M5-N5</f>
        <v>4300</v>
      </c>
    </row>
    <row r="6" spans="1:24" x14ac:dyDescent="0.35">
      <c r="A6" s="16">
        <v>2</v>
      </c>
      <c r="B6" s="35">
        <f ca="1">E5</f>
        <v>345</v>
      </c>
      <c r="C6" s="37">
        <f t="shared" ref="C6:C56" ca="1" si="2">RANDBETWEEN(100,250)</f>
        <v>237</v>
      </c>
      <c r="D6" s="35">
        <f t="shared" ref="D6:D56" ca="1" si="3">MIN(B6,C6)</f>
        <v>237</v>
      </c>
      <c r="E6" s="30">
        <f t="shared" ref="E6:E56" ca="1" si="4">B6-D6</f>
        <v>108</v>
      </c>
      <c r="F6" s="30">
        <f t="shared" ref="F6:F56" ca="1" si="5">I5</f>
        <v>155</v>
      </c>
      <c r="G6" s="18">
        <f>F5</f>
        <v>0</v>
      </c>
      <c r="H6" s="18">
        <v>0</v>
      </c>
      <c r="I6" s="30">
        <f t="shared" ref="I6:I56" ca="1" si="6">MAX(I$3-(E6+F6+G6+H6),0)</f>
        <v>237</v>
      </c>
      <c r="J6" s="32">
        <f t="shared" ref="J6:J56" ca="1" si="7">D6*J$3</f>
        <v>7110</v>
      </c>
      <c r="K6" s="33">
        <f t="shared" ref="K6:K56" ca="1" si="8">MAX(0,(C6-D6))*K$3</f>
        <v>0</v>
      </c>
      <c r="L6" s="33">
        <f t="shared" ca="1" si="0"/>
        <v>65</v>
      </c>
      <c r="M6" s="33">
        <f t="shared" ref="M6:M56" ca="1" si="9">IF(I6&gt;0,M$3,0)</f>
        <v>210</v>
      </c>
      <c r="N6" s="33">
        <f t="shared" ca="1" si="1"/>
        <v>75</v>
      </c>
      <c r="O6" s="34">
        <f t="shared" ref="O6:O56" ca="1" si="10">J6-K6-L6-M6-N6</f>
        <v>6760</v>
      </c>
      <c r="S6" s="7"/>
      <c r="T6" s="8"/>
      <c r="U6" s="8"/>
      <c r="V6" s="8"/>
      <c r="W6" s="8"/>
      <c r="X6" s="9"/>
    </row>
    <row r="7" spans="1:24" x14ac:dyDescent="0.35">
      <c r="A7" s="16">
        <v>3</v>
      </c>
      <c r="B7" s="35">
        <f ca="1">E6</f>
        <v>108</v>
      </c>
      <c r="C7" s="37">
        <f t="shared" ca="1" si="2"/>
        <v>206</v>
      </c>
      <c r="D7" s="35">
        <f t="shared" ca="1" si="3"/>
        <v>108</v>
      </c>
      <c r="E7" s="30">
        <f t="shared" ca="1" si="4"/>
        <v>0</v>
      </c>
      <c r="F7" s="30">
        <f t="shared" ca="1" si="5"/>
        <v>237</v>
      </c>
      <c r="G7" s="30">
        <f t="shared" ref="G7:G56" ca="1" si="11">F6</f>
        <v>155</v>
      </c>
      <c r="H7" s="18">
        <v>0</v>
      </c>
      <c r="I7" s="30">
        <f t="shared" ca="1" si="6"/>
        <v>108</v>
      </c>
      <c r="J7" s="32">
        <f t="shared" ca="1" si="7"/>
        <v>3240</v>
      </c>
      <c r="K7" s="33">
        <f t="shared" ca="1" si="8"/>
        <v>3136</v>
      </c>
      <c r="L7" s="33">
        <f t="shared" ca="1" si="0"/>
        <v>65</v>
      </c>
      <c r="M7" s="33">
        <f t="shared" ca="1" si="9"/>
        <v>210</v>
      </c>
      <c r="N7" s="33">
        <f t="shared" ca="1" si="1"/>
        <v>75</v>
      </c>
      <c r="O7" s="34">
        <f t="shared" ca="1" si="10"/>
        <v>-246</v>
      </c>
    </row>
    <row r="8" spans="1:24" x14ac:dyDescent="0.35">
      <c r="A8" s="16">
        <v>4</v>
      </c>
      <c r="B8" s="35">
        <f ca="1">E7</f>
        <v>0</v>
      </c>
      <c r="C8" s="37">
        <f t="shared" ca="1" si="2"/>
        <v>233</v>
      </c>
      <c r="D8" s="35">
        <f t="shared" ca="1" si="3"/>
        <v>0</v>
      </c>
      <c r="E8" s="30">
        <f t="shared" ca="1" si="4"/>
        <v>0</v>
      </c>
      <c r="F8" s="30">
        <f t="shared" ca="1" si="5"/>
        <v>108</v>
      </c>
      <c r="G8" s="30">
        <f t="shared" ca="1" si="11"/>
        <v>237</v>
      </c>
      <c r="H8" s="30">
        <f ca="1">G7</f>
        <v>155</v>
      </c>
      <c r="I8" s="30">
        <f t="shared" ca="1" si="6"/>
        <v>0</v>
      </c>
      <c r="J8" s="32">
        <f t="shared" ca="1" si="7"/>
        <v>0</v>
      </c>
      <c r="K8" s="33">
        <f ca="1">MAX(0,(C8-D8))*K$3</f>
        <v>7456</v>
      </c>
      <c r="L8" s="33">
        <f t="shared" ca="1" si="0"/>
        <v>0</v>
      </c>
      <c r="M8" s="33">
        <f t="shared" ca="1" si="9"/>
        <v>0</v>
      </c>
      <c r="N8" s="33">
        <f t="shared" ca="1" si="1"/>
        <v>0</v>
      </c>
      <c r="O8" s="34">
        <f t="shared" ca="1" si="10"/>
        <v>-7456</v>
      </c>
    </row>
    <row r="9" spans="1:24" s="39" customFormat="1" x14ac:dyDescent="0.35">
      <c r="A9" s="38">
        <v>5</v>
      </c>
      <c r="B9" s="24">
        <f ca="1">E8+I5</f>
        <v>155</v>
      </c>
      <c r="C9" s="25">
        <f t="shared" ca="1" si="2"/>
        <v>142</v>
      </c>
      <c r="D9" s="24">
        <f ca="1">MIN(B9,C9)</f>
        <v>142</v>
      </c>
      <c r="E9" s="26">
        <f ca="1">B9-D9</f>
        <v>13</v>
      </c>
      <c r="F9" s="26">
        <f t="shared" ca="1" si="5"/>
        <v>0</v>
      </c>
      <c r="G9" s="26">
        <f t="shared" ca="1" si="11"/>
        <v>108</v>
      </c>
      <c r="H9" s="26">
        <f t="shared" ref="H9:H56" ca="1" si="12">G8</f>
        <v>237</v>
      </c>
      <c r="I9" s="26">
        <f t="shared" ca="1" si="6"/>
        <v>142</v>
      </c>
      <c r="J9" s="27">
        <f ca="1">D9*J$3</f>
        <v>4260</v>
      </c>
      <c r="K9" s="28">
        <f ca="1">MAX(0,(C9-D9))*K$3</f>
        <v>0</v>
      </c>
      <c r="L9" s="28">
        <f t="shared" ca="1" si="0"/>
        <v>65</v>
      </c>
      <c r="M9" s="28">
        <f t="shared" ca="1" si="9"/>
        <v>210</v>
      </c>
      <c r="N9" s="28">
        <f t="shared" ca="1" si="1"/>
        <v>75</v>
      </c>
      <c r="O9" s="29">
        <f t="shared" ca="1" si="10"/>
        <v>3910</v>
      </c>
    </row>
    <row r="10" spans="1:24" x14ac:dyDescent="0.35">
      <c r="A10" s="16">
        <v>6</v>
      </c>
      <c r="B10" s="35">
        <f t="shared" ref="B10:B56" ca="1" si="13">E9+I6</f>
        <v>250</v>
      </c>
      <c r="C10" s="37">
        <f t="shared" ca="1" si="2"/>
        <v>178</v>
      </c>
      <c r="D10" s="35">
        <f t="shared" ca="1" si="3"/>
        <v>178</v>
      </c>
      <c r="E10" s="30">
        <f t="shared" ca="1" si="4"/>
        <v>72</v>
      </c>
      <c r="F10" s="30">
        <f t="shared" ca="1" si="5"/>
        <v>142</v>
      </c>
      <c r="G10" s="30">
        <f t="shared" ca="1" si="11"/>
        <v>0</v>
      </c>
      <c r="H10" s="30">
        <f t="shared" ca="1" si="12"/>
        <v>108</v>
      </c>
      <c r="I10" s="30">
        <f t="shared" ca="1" si="6"/>
        <v>178</v>
      </c>
      <c r="J10" s="32">
        <f t="shared" ca="1" si="7"/>
        <v>5340</v>
      </c>
      <c r="K10" s="33">
        <f t="shared" ca="1" si="8"/>
        <v>0</v>
      </c>
      <c r="L10" s="33">
        <f t="shared" ca="1" si="0"/>
        <v>65</v>
      </c>
      <c r="M10" s="33">
        <f t="shared" ca="1" si="9"/>
        <v>210</v>
      </c>
      <c r="N10" s="33">
        <f t="shared" ca="1" si="1"/>
        <v>75</v>
      </c>
      <c r="O10" s="34">
        <f t="shared" ca="1" si="10"/>
        <v>4990</v>
      </c>
    </row>
    <row r="11" spans="1:24" x14ac:dyDescent="0.35">
      <c r="A11" s="16">
        <v>7</v>
      </c>
      <c r="B11" s="35">
        <f t="shared" ca="1" si="13"/>
        <v>180</v>
      </c>
      <c r="C11" s="37">
        <f t="shared" ca="1" si="2"/>
        <v>183</v>
      </c>
      <c r="D11" s="35">
        <f t="shared" ca="1" si="3"/>
        <v>180</v>
      </c>
      <c r="E11" s="30">
        <f t="shared" ca="1" si="4"/>
        <v>0</v>
      </c>
      <c r="F11" s="30">
        <f t="shared" ca="1" si="5"/>
        <v>178</v>
      </c>
      <c r="G11" s="30">
        <f t="shared" ca="1" si="11"/>
        <v>142</v>
      </c>
      <c r="H11" s="30">
        <f t="shared" ca="1" si="12"/>
        <v>0</v>
      </c>
      <c r="I11" s="30">
        <f t="shared" ca="1" si="6"/>
        <v>180</v>
      </c>
      <c r="J11" s="32">
        <f t="shared" ca="1" si="7"/>
        <v>5400</v>
      </c>
      <c r="K11" s="33">
        <f t="shared" ca="1" si="8"/>
        <v>96</v>
      </c>
      <c r="L11" s="33">
        <f t="shared" ca="1" si="0"/>
        <v>65</v>
      </c>
      <c r="M11" s="33">
        <f t="shared" ca="1" si="9"/>
        <v>210</v>
      </c>
      <c r="N11" s="33">
        <f t="shared" ca="1" si="1"/>
        <v>75</v>
      </c>
      <c r="O11" s="34">
        <f t="shared" ca="1" si="10"/>
        <v>4954</v>
      </c>
      <c r="Q11" s="40"/>
      <c r="R11" s="40"/>
      <c r="S11" s="40"/>
      <c r="T11" s="40"/>
      <c r="U11" s="40"/>
      <c r="V11" s="40"/>
      <c r="W11" s="40"/>
      <c r="X11" s="40"/>
    </row>
    <row r="12" spans="1:24" x14ac:dyDescent="0.35">
      <c r="A12" s="16">
        <v>8</v>
      </c>
      <c r="B12" s="35">
        <f t="shared" ca="1" si="13"/>
        <v>0</v>
      </c>
      <c r="C12" s="37">
        <f t="shared" ca="1" si="2"/>
        <v>163</v>
      </c>
      <c r="D12" s="35">
        <f t="shared" ca="1" si="3"/>
        <v>0</v>
      </c>
      <c r="E12" s="30">
        <f t="shared" ca="1" si="4"/>
        <v>0</v>
      </c>
      <c r="F12" s="30">
        <f t="shared" ca="1" si="5"/>
        <v>180</v>
      </c>
      <c r="G12" s="30">
        <f t="shared" ca="1" si="11"/>
        <v>178</v>
      </c>
      <c r="H12" s="30">
        <f t="shared" ca="1" si="12"/>
        <v>142</v>
      </c>
      <c r="I12" s="30">
        <f t="shared" ca="1" si="6"/>
        <v>0</v>
      </c>
      <c r="J12" s="32">
        <f t="shared" ca="1" si="7"/>
        <v>0</v>
      </c>
      <c r="K12" s="33">
        <f t="shared" ca="1" si="8"/>
        <v>5216</v>
      </c>
      <c r="L12" s="33">
        <f t="shared" ca="1" si="0"/>
        <v>0</v>
      </c>
      <c r="M12" s="33">
        <f t="shared" ca="1" si="9"/>
        <v>0</v>
      </c>
      <c r="N12" s="33">
        <f t="shared" ca="1" si="1"/>
        <v>0</v>
      </c>
      <c r="O12" s="34">
        <f t="shared" ca="1" si="10"/>
        <v>-5216</v>
      </c>
      <c r="Q12" s="40"/>
      <c r="R12" s="40"/>
      <c r="S12" s="40"/>
      <c r="T12" s="40"/>
      <c r="U12" s="40"/>
      <c r="V12" s="40"/>
      <c r="W12" s="40"/>
      <c r="X12" s="40"/>
    </row>
    <row r="13" spans="1:24" x14ac:dyDescent="0.35">
      <c r="A13" s="16">
        <v>9</v>
      </c>
      <c r="B13" s="35">
        <f t="shared" ca="1" si="13"/>
        <v>142</v>
      </c>
      <c r="C13" s="37">
        <f t="shared" ca="1" si="2"/>
        <v>177</v>
      </c>
      <c r="D13" s="35">
        <f t="shared" ca="1" si="3"/>
        <v>142</v>
      </c>
      <c r="E13" s="30">
        <f t="shared" ca="1" si="4"/>
        <v>0</v>
      </c>
      <c r="F13" s="30">
        <f t="shared" ca="1" si="5"/>
        <v>0</v>
      </c>
      <c r="G13" s="30">
        <f t="shared" ca="1" si="11"/>
        <v>180</v>
      </c>
      <c r="H13" s="30">
        <f t="shared" ca="1" si="12"/>
        <v>178</v>
      </c>
      <c r="I13" s="30">
        <f t="shared" ca="1" si="6"/>
        <v>142</v>
      </c>
      <c r="J13" s="32">
        <f t="shared" ca="1" si="7"/>
        <v>4260</v>
      </c>
      <c r="K13" s="33">
        <f t="shared" ca="1" si="8"/>
        <v>1120</v>
      </c>
      <c r="L13" s="33">
        <f t="shared" ca="1" si="0"/>
        <v>65</v>
      </c>
      <c r="M13" s="33">
        <f t="shared" ca="1" si="9"/>
        <v>210</v>
      </c>
      <c r="N13" s="33">
        <f t="shared" ca="1" si="1"/>
        <v>75</v>
      </c>
      <c r="O13" s="34">
        <f t="shared" ca="1" si="10"/>
        <v>2790</v>
      </c>
      <c r="Q13" s="40"/>
      <c r="R13" s="40"/>
      <c r="S13" s="40"/>
      <c r="T13" s="40"/>
      <c r="U13" s="40"/>
      <c r="V13" s="40"/>
      <c r="W13" s="40"/>
      <c r="X13" s="40"/>
    </row>
    <row r="14" spans="1:24" x14ac:dyDescent="0.35">
      <c r="A14" s="16">
        <v>10</v>
      </c>
      <c r="B14" s="35">
        <f t="shared" ca="1" si="13"/>
        <v>178</v>
      </c>
      <c r="C14" s="37">
        <f t="shared" ca="1" si="2"/>
        <v>243</v>
      </c>
      <c r="D14" s="35">
        <f t="shared" ca="1" si="3"/>
        <v>178</v>
      </c>
      <c r="E14" s="30">
        <f t="shared" ca="1" si="4"/>
        <v>0</v>
      </c>
      <c r="F14" s="30">
        <f t="shared" ca="1" si="5"/>
        <v>142</v>
      </c>
      <c r="G14" s="30">
        <f t="shared" ca="1" si="11"/>
        <v>0</v>
      </c>
      <c r="H14" s="30">
        <f t="shared" ca="1" si="12"/>
        <v>180</v>
      </c>
      <c r="I14" s="30">
        <f t="shared" ca="1" si="6"/>
        <v>178</v>
      </c>
      <c r="J14" s="32">
        <f t="shared" ca="1" si="7"/>
        <v>5340</v>
      </c>
      <c r="K14" s="33">
        <f t="shared" ca="1" si="8"/>
        <v>2080</v>
      </c>
      <c r="L14" s="33">
        <f t="shared" ca="1" si="0"/>
        <v>65</v>
      </c>
      <c r="M14" s="33">
        <f t="shared" ca="1" si="9"/>
        <v>210</v>
      </c>
      <c r="N14" s="33">
        <f t="shared" ca="1" si="1"/>
        <v>75</v>
      </c>
      <c r="O14" s="34">
        <f t="shared" ca="1" si="10"/>
        <v>2910</v>
      </c>
      <c r="Q14" s="41"/>
      <c r="R14" s="40"/>
      <c r="S14" s="40"/>
      <c r="T14" s="40"/>
      <c r="U14" s="40"/>
      <c r="V14" s="40"/>
      <c r="W14" s="40"/>
      <c r="X14" s="40"/>
    </row>
    <row r="15" spans="1:24" x14ac:dyDescent="0.35">
      <c r="A15" s="16">
        <v>11</v>
      </c>
      <c r="B15" s="35">
        <f t="shared" ca="1" si="13"/>
        <v>180</v>
      </c>
      <c r="C15" s="37">
        <f t="shared" ca="1" si="2"/>
        <v>164</v>
      </c>
      <c r="D15" s="35">
        <f t="shared" ca="1" si="3"/>
        <v>164</v>
      </c>
      <c r="E15" s="30">
        <f t="shared" ca="1" si="4"/>
        <v>16</v>
      </c>
      <c r="F15" s="30">
        <f t="shared" ca="1" si="5"/>
        <v>178</v>
      </c>
      <c r="G15" s="30">
        <f t="shared" ca="1" si="11"/>
        <v>142</v>
      </c>
      <c r="H15" s="30">
        <f t="shared" ca="1" si="12"/>
        <v>0</v>
      </c>
      <c r="I15" s="30">
        <f t="shared" ca="1" si="6"/>
        <v>164</v>
      </c>
      <c r="J15" s="32">
        <f t="shared" ca="1" si="7"/>
        <v>4920</v>
      </c>
      <c r="K15" s="33">
        <f t="shared" ca="1" si="8"/>
        <v>0</v>
      </c>
      <c r="L15" s="33">
        <f t="shared" ca="1" si="0"/>
        <v>65</v>
      </c>
      <c r="M15" s="33">
        <f t="shared" ca="1" si="9"/>
        <v>210</v>
      </c>
      <c r="N15" s="33">
        <f t="shared" ca="1" si="1"/>
        <v>75</v>
      </c>
      <c r="O15" s="34">
        <f t="shared" ca="1" si="10"/>
        <v>4570</v>
      </c>
      <c r="Q15" s="42"/>
      <c r="R15" s="40"/>
      <c r="S15" s="40"/>
      <c r="T15" s="40"/>
      <c r="U15" s="40"/>
      <c r="V15" s="40"/>
      <c r="W15" s="40"/>
      <c r="X15" s="40"/>
    </row>
    <row r="16" spans="1:24" x14ac:dyDescent="0.35">
      <c r="A16" s="16">
        <v>12</v>
      </c>
      <c r="B16" s="35">
        <f t="shared" ca="1" si="13"/>
        <v>16</v>
      </c>
      <c r="C16" s="37">
        <f t="shared" ca="1" si="2"/>
        <v>176</v>
      </c>
      <c r="D16" s="35">
        <f t="shared" ca="1" si="3"/>
        <v>16</v>
      </c>
      <c r="E16" s="30">
        <f t="shared" ca="1" si="4"/>
        <v>0</v>
      </c>
      <c r="F16" s="30">
        <f t="shared" ca="1" si="5"/>
        <v>164</v>
      </c>
      <c r="G16" s="30">
        <f t="shared" ca="1" si="11"/>
        <v>178</v>
      </c>
      <c r="H16" s="30">
        <f t="shared" ca="1" si="12"/>
        <v>142</v>
      </c>
      <c r="I16" s="30">
        <f t="shared" ca="1" si="6"/>
        <v>16</v>
      </c>
      <c r="J16" s="32">
        <f t="shared" ca="1" si="7"/>
        <v>480</v>
      </c>
      <c r="K16" s="33">
        <f t="shared" ca="1" si="8"/>
        <v>5120</v>
      </c>
      <c r="L16" s="33">
        <f t="shared" ca="1" si="0"/>
        <v>65</v>
      </c>
      <c r="M16" s="33">
        <f t="shared" ca="1" si="9"/>
        <v>210</v>
      </c>
      <c r="N16" s="33">
        <f t="shared" ca="1" si="1"/>
        <v>75</v>
      </c>
      <c r="O16" s="34">
        <f t="shared" ca="1" si="10"/>
        <v>-4990</v>
      </c>
      <c r="Q16" s="43"/>
      <c r="R16" s="40"/>
      <c r="S16" s="40"/>
      <c r="T16" s="40"/>
      <c r="U16" s="40"/>
      <c r="V16" s="40"/>
      <c r="W16" s="40"/>
      <c r="X16" s="40"/>
    </row>
    <row r="17" spans="1:24" x14ac:dyDescent="0.35">
      <c r="A17" s="16">
        <v>13</v>
      </c>
      <c r="B17" s="35">
        <f t="shared" ca="1" si="13"/>
        <v>142</v>
      </c>
      <c r="C17" s="37">
        <f t="shared" ca="1" si="2"/>
        <v>123</v>
      </c>
      <c r="D17" s="35">
        <f t="shared" ca="1" si="3"/>
        <v>123</v>
      </c>
      <c r="E17" s="30">
        <f t="shared" ca="1" si="4"/>
        <v>19</v>
      </c>
      <c r="F17" s="30">
        <f t="shared" ca="1" si="5"/>
        <v>16</v>
      </c>
      <c r="G17" s="30">
        <f t="shared" ca="1" si="11"/>
        <v>164</v>
      </c>
      <c r="H17" s="30">
        <f t="shared" ca="1" si="12"/>
        <v>178</v>
      </c>
      <c r="I17" s="30">
        <f t="shared" ca="1" si="6"/>
        <v>123</v>
      </c>
      <c r="J17" s="32">
        <f t="shared" ca="1" si="7"/>
        <v>3690</v>
      </c>
      <c r="K17" s="33">
        <f t="shared" ca="1" si="8"/>
        <v>0</v>
      </c>
      <c r="L17" s="33">
        <f t="shared" ca="1" si="0"/>
        <v>65</v>
      </c>
      <c r="M17" s="33">
        <f t="shared" ca="1" si="9"/>
        <v>210</v>
      </c>
      <c r="N17" s="33">
        <f t="shared" ca="1" si="1"/>
        <v>75</v>
      </c>
      <c r="O17" s="34">
        <f t="shared" ca="1" si="10"/>
        <v>3340</v>
      </c>
      <c r="Q17" s="43"/>
      <c r="R17" s="40"/>
      <c r="S17" s="40"/>
      <c r="T17" s="40"/>
      <c r="U17" s="40"/>
      <c r="V17" s="40"/>
      <c r="W17" s="40"/>
      <c r="X17" s="40"/>
    </row>
    <row r="18" spans="1:24" ht="17" x14ac:dyDescent="0.4">
      <c r="A18" s="16">
        <v>14</v>
      </c>
      <c r="B18" s="35">
        <f t="shared" ca="1" si="13"/>
        <v>197</v>
      </c>
      <c r="C18" s="37">
        <f t="shared" ca="1" si="2"/>
        <v>126</v>
      </c>
      <c r="D18" s="35">
        <f t="shared" ca="1" si="3"/>
        <v>126</v>
      </c>
      <c r="E18" s="30">
        <f t="shared" ca="1" si="4"/>
        <v>71</v>
      </c>
      <c r="F18" s="30">
        <f t="shared" ca="1" si="5"/>
        <v>123</v>
      </c>
      <c r="G18" s="30">
        <f t="shared" ca="1" si="11"/>
        <v>16</v>
      </c>
      <c r="H18" s="30">
        <f t="shared" ca="1" si="12"/>
        <v>164</v>
      </c>
      <c r="I18" s="30">
        <f t="shared" ca="1" si="6"/>
        <v>126</v>
      </c>
      <c r="J18" s="32">
        <f t="shared" ca="1" si="7"/>
        <v>3780</v>
      </c>
      <c r="K18" s="33">
        <f t="shared" ca="1" si="8"/>
        <v>0</v>
      </c>
      <c r="L18" s="33">
        <f t="shared" ca="1" si="0"/>
        <v>65</v>
      </c>
      <c r="M18" s="33">
        <f t="shared" ca="1" si="9"/>
        <v>210</v>
      </c>
      <c r="N18" s="33">
        <f t="shared" ca="1" si="1"/>
        <v>75</v>
      </c>
      <c r="O18" s="34">
        <f t="shared" ca="1" si="10"/>
        <v>3430</v>
      </c>
      <c r="Q18" s="44"/>
      <c r="R18" s="40"/>
      <c r="S18" s="40"/>
      <c r="T18" s="40"/>
      <c r="U18" s="40"/>
      <c r="V18" s="40"/>
      <c r="W18" s="40"/>
      <c r="X18" s="40"/>
    </row>
    <row r="19" spans="1:24" x14ac:dyDescent="0.35">
      <c r="A19" s="16">
        <v>15</v>
      </c>
      <c r="B19" s="35">
        <f t="shared" ca="1" si="13"/>
        <v>235</v>
      </c>
      <c r="C19" s="37">
        <f t="shared" ca="1" si="2"/>
        <v>142</v>
      </c>
      <c r="D19" s="35">
        <f t="shared" ca="1" si="3"/>
        <v>142</v>
      </c>
      <c r="E19" s="30">
        <f t="shared" ca="1" si="4"/>
        <v>93</v>
      </c>
      <c r="F19" s="30">
        <f t="shared" ca="1" si="5"/>
        <v>126</v>
      </c>
      <c r="G19" s="30">
        <f t="shared" ca="1" si="11"/>
        <v>123</v>
      </c>
      <c r="H19" s="30">
        <f t="shared" ca="1" si="12"/>
        <v>16</v>
      </c>
      <c r="I19" s="30">
        <f t="shared" ca="1" si="6"/>
        <v>142</v>
      </c>
      <c r="J19" s="32">
        <f t="shared" ca="1" si="7"/>
        <v>4260</v>
      </c>
      <c r="K19" s="33">
        <f t="shared" ca="1" si="8"/>
        <v>0</v>
      </c>
      <c r="L19" s="33">
        <f t="shared" ca="1" si="0"/>
        <v>65</v>
      </c>
      <c r="M19" s="33">
        <f t="shared" ca="1" si="9"/>
        <v>210</v>
      </c>
      <c r="N19" s="33">
        <f t="shared" ca="1" si="1"/>
        <v>75</v>
      </c>
      <c r="O19" s="34">
        <f t="shared" ca="1" si="10"/>
        <v>3910</v>
      </c>
      <c r="Q19" s="40"/>
      <c r="R19" s="40"/>
      <c r="S19" s="40"/>
      <c r="T19" s="40"/>
      <c r="U19" s="40"/>
      <c r="V19" s="40"/>
      <c r="W19" s="40"/>
      <c r="X19" s="40"/>
    </row>
    <row r="20" spans="1:24" x14ac:dyDescent="0.35">
      <c r="A20" s="16">
        <v>16</v>
      </c>
      <c r="B20" s="35">
        <f t="shared" ca="1" si="13"/>
        <v>109</v>
      </c>
      <c r="C20" s="37">
        <f t="shared" ca="1" si="2"/>
        <v>112</v>
      </c>
      <c r="D20" s="35">
        <f t="shared" ca="1" si="3"/>
        <v>109</v>
      </c>
      <c r="E20" s="30">
        <f t="shared" ca="1" si="4"/>
        <v>0</v>
      </c>
      <c r="F20" s="30">
        <f t="shared" ca="1" si="5"/>
        <v>142</v>
      </c>
      <c r="G20" s="30">
        <f t="shared" ca="1" si="11"/>
        <v>126</v>
      </c>
      <c r="H20" s="30">
        <f t="shared" ca="1" si="12"/>
        <v>123</v>
      </c>
      <c r="I20" s="30">
        <f t="shared" ca="1" si="6"/>
        <v>109</v>
      </c>
      <c r="J20" s="32">
        <f t="shared" ca="1" si="7"/>
        <v>3270</v>
      </c>
      <c r="K20" s="33">
        <f t="shared" ca="1" si="8"/>
        <v>96</v>
      </c>
      <c r="L20" s="33">
        <f t="shared" ca="1" si="0"/>
        <v>65</v>
      </c>
      <c r="M20" s="33">
        <f t="shared" ca="1" si="9"/>
        <v>210</v>
      </c>
      <c r="N20" s="33">
        <f t="shared" ca="1" si="1"/>
        <v>75</v>
      </c>
      <c r="O20" s="34">
        <f t="shared" ca="1" si="10"/>
        <v>2824</v>
      </c>
      <c r="Q20" s="40"/>
      <c r="R20" s="40"/>
      <c r="S20" s="40"/>
      <c r="T20" s="40"/>
      <c r="U20" s="40"/>
      <c r="V20" s="40"/>
      <c r="W20" s="40"/>
      <c r="X20" s="40"/>
    </row>
    <row r="21" spans="1:24" x14ac:dyDescent="0.35">
      <c r="A21" s="16">
        <v>17</v>
      </c>
      <c r="B21" s="35">
        <f t="shared" ca="1" si="13"/>
        <v>123</v>
      </c>
      <c r="C21" s="37">
        <f t="shared" ca="1" si="2"/>
        <v>173</v>
      </c>
      <c r="D21" s="35">
        <f t="shared" ca="1" si="3"/>
        <v>123</v>
      </c>
      <c r="E21" s="30">
        <f t="shared" ca="1" si="4"/>
        <v>0</v>
      </c>
      <c r="F21" s="30">
        <f t="shared" ca="1" si="5"/>
        <v>109</v>
      </c>
      <c r="G21" s="30">
        <f t="shared" ca="1" si="11"/>
        <v>142</v>
      </c>
      <c r="H21" s="30">
        <f t="shared" ca="1" si="12"/>
        <v>126</v>
      </c>
      <c r="I21" s="30">
        <f t="shared" ca="1" si="6"/>
        <v>123</v>
      </c>
      <c r="J21" s="32">
        <f t="shared" ca="1" si="7"/>
        <v>3690</v>
      </c>
      <c r="K21" s="33">
        <f t="shared" ca="1" si="8"/>
        <v>1600</v>
      </c>
      <c r="L21" s="33">
        <f t="shared" ca="1" si="0"/>
        <v>65</v>
      </c>
      <c r="M21" s="33">
        <f t="shared" ca="1" si="9"/>
        <v>210</v>
      </c>
      <c r="N21" s="33">
        <f t="shared" ca="1" si="1"/>
        <v>75</v>
      </c>
      <c r="O21" s="34">
        <f t="shared" ca="1" si="10"/>
        <v>1740</v>
      </c>
      <c r="Q21" s="41"/>
      <c r="R21" s="40"/>
      <c r="S21" s="40"/>
      <c r="T21" s="40"/>
      <c r="U21" s="40"/>
      <c r="V21" s="40"/>
      <c r="W21" s="40"/>
      <c r="X21" s="40"/>
    </row>
    <row r="22" spans="1:24" x14ac:dyDescent="0.35">
      <c r="A22" s="16">
        <v>18</v>
      </c>
      <c r="B22" s="35">
        <f t="shared" ca="1" si="13"/>
        <v>126</v>
      </c>
      <c r="C22" s="37">
        <f t="shared" ca="1" si="2"/>
        <v>242</v>
      </c>
      <c r="D22" s="35">
        <f t="shared" ca="1" si="3"/>
        <v>126</v>
      </c>
      <c r="E22" s="30">
        <f t="shared" ca="1" si="4"/>
        <v>0</v>
      </c>
      <c r="F22" s="30">
        <f t="shared" ca="1" si="5"/>
        <v>123</v>
      </c>
      <c r="G22" s="30">
        <f t="shared" ca="1" si="11"/>
        <v>109</v>
      </c>
      <c r="H22" s="30">
        <f t="shared" ca="1" si="12"/>
        <v>142</v>
      </c>
      <c r="I22" s="30">
        <f t="shared" ca="1" si="6"/>
        <v>126</v>
      </c>
      <c r="J22" s="32">
        <f t="shared" ca="1" si="7"/>
        <v>3780</v>
      </c>
      <c r="K22" s="33">
        <f t="shared" ca="1" si="8"/>
        <v>3712</v>
      </c>
      <c r="L22" s="33">
        <f t="shared" ca="1" si="0"/>
        <v>65</v>
      </c>
      <c r="M22" s="33">
        <f t="shared" ca="1" si="9"/>
        <v>210</v>
      </c>
      <c r="N22" s="33">
        <f t="shared" ca="1" si="1"/>
        <v>75</v>
      </c>
      <c r="O22" s="34">
        <f t="shared" ca="1" si="10"/>
        <v>-282</v>
      </c>
      <c r="Q22" s="42"/>
      <c r="R22" s="40"/>
      <c r="S22" s="40"/>
      <c r="T22" s="40"/>
      <c r="U22" s="40"/>
      <c r="V22" s="40"/>
      <c r="W22" s="40"/>
      <c r="X22" s="40"/>
    </row>
    <row r="23" spans="1:24" x14ac:dyDescent="0.35">
      <c r="A23" s="16">
        <v>19</v>
      </c>
      <c r="B23" s="35">
        <f t="shared" ca="1" si="13"/>
        <v>142</v>
      </c>
      <c r="C23" s="37">
        <f t="shared" ca="1" si="2"/>
        <v>144</v>
      </c>
      <c r="D23" s="35">
        <f t="shared" ca="1" si="3"/>
        <v>142</v>
      </c>
      <c r="E23" s="30">
        <f t="shared" ca="1" si="4"/>
        <v>0</v>
      </c>
      <c r="F23" s="30">
        <f t="shared" ca="1" si="5"/>
        <v>126</v>
      </c>
      <c r="G23" s="30">
        <f t="shared" ca="1" si="11"/>
        <v>123</v>
      </c>
      <c r="H23" s="30">
        <f t="shared" ca="1" si="12"/>
        <v>109</v>
      </c>
      <c r="I23" s="30">
        <f t="shared" ca="1" si="6"/>
        <v>142</v>
      </c>
      <c r="J23" s="32">
        <f t="shared" ca="1" si="7"/>
        <v>4260</v>
      </c>
      <c r="K23" s="33">
        <f t="shared" ca="1" si="8"/>
        <v>64</v>
      </c>
      <c r="L23" s="33">
        <f t="shared" ca="1" si="0"/>
        <v>65</v>
      </c>
      <c r="M23" s="33">
        <f t="shared" ca="1" si="9"/>
        <v>210</v>
      </c>
      <c r="N23" s="33">
        <f t="shared" ca="1" si="1"/>
        <v>75</v>
      </c>
      <c r="O23" s="34">
        <f t="shared" ca="1" si="10"/>
        <v>3846</v>
      </c>
      <c r="Q23" s="43"/>
      <c r="R23" s="40"/>
      <c r="S23" s="40"/>
      <c r="T23" s="40"/>
      <c r="U23" s="40"/>
      <c r="V23" s="40"/>
      <c r="W23" s="40"/>
      <c r="X23" s="40"/>
    </row>
    <row r="24" spans="1:24" x14ac:dyDescent="0.35">
      <c r="A24" s="16">
        <v>20</v>
      </c>
      <c r="B24" s="35">
        <f t="shared" ca="1" si="13"/>
        <v>109</v>
      </c>
      <c r="C24" s="37">
        <f t="shared" ca="1" si="2"/>
        <v>245</v>
      </c>
      <c r="D24" s="35">
        <f t="shared" ca="1" si="3"/>
        <v>109</v>
      </c>
      <c r="E24" s="30">
        <f t="shared" ca="1" si="4"/>
        <v>0</v>
      </c>
      <c r="F24" s="30">
        <f t="shared" ca="1" si="5"/>
        <v>142</v>
      </c>
      <c r="G24" s="30">
        <f t="shared" ca="1" si="11"/>
        <v>126</v>
      </c>
      <c r="H24" s="30">
        <f t="shared" ca="1" si="12"/>
        <v>123</v>
      </c>
      <c r="I24" s="30">
        <f t="shared" ca="1" si="6"/>
        <v>109</v>
      </c>
      <c r="J24" s="32">
        <f t="shared" ca="1" si="7"/>
        <v>3270</v>
      </c>
      <c r="K24" s="33">
        <f t="shared" ca="1" si="8"/>
        <v>4352</v>
      </c>
      <c r="L24" s="33">
        <f t="shared" ca="1" si="0"/>
        <v>65</v>
      </c>
      <c r="M24" s="33">
        <f t="shared" ca="1" si="9"/>
        <v>210</v>
      </c>
      <c r="N24" s="33">
        <f t="shared" ca="1" si="1"/>
        <v>75</v>
      </c>
      <c r="O24" s="34">
        <f t="shared" ca="1" si="10"/>
        <v>-1432</v>
      </c>
      <c r="Q24" s="43"/>
      <c r="R24" s="40"/>
      <c r="S24" s="40"/>
      <c r="T24" s="40"/>
      <c r="U24" s="40"/>
      <c r="V24" s="40"/>
      <c r="W24" s="40"/>
      <c r="X24" s="40"/>
    </row>
    <row r="25" spans="1:24" ht="17" x14ac:dyDescent="0.4">
      <c r="A25" s="16">
        <v>21</v>
      </c>
      <c r="B25" s="35">
        <f t="shared" ca="1" si="13"/>
        <v>123</v>
      </c>
      <c r="C25" s="37">
        <f t="shared" ca="1" si="2"/>
        <v>108</v>
      </c>
      <c r="D25" s="35">
        <f t="shared" ca="1" si="3"/>
        <v>108</v>
      </c>
      <c r="E25" s="30">
        <f t="shared" ca="1" si="4"/>
        <v>15</v>
      </c>
      <c r="F25" s="30">
        <f t="shared" ca="1" si="5"/>
        <v>109</v>
      </c>
      <c r="G25" s="30">
        <f t="shared" ca="1" si="11"/>
        <v>142</v>
      </c>
      <c r="H25" s="30">
        <f t="shared" ca="1" si="12"/>
        <v>126</v>
      </c>
      <c r="I25" s="30">
        <f t="shared" ca="1" si="6"/>
        <v>108</v>
      </c>
      <c r="J25" s="32">
        <f t="shared" ca="1" si="7"/>
        <v>3240</v>
      </c>
      <c r="K25" s="33">
        <f t="shared" ca="1" si="8"/>
        <v>0</v>
      </c>
      <c r="L25" s="33">
        <f t="shared" ca="1" si="0"/>
        <v>65</v>
      </c>
      <c r="M25" s="33">
        <f t="shared" ca="1" si="9"/>
        <v>210</v>
      </c>
      <c r="N25" s="33">
        <f t="shared" ca="1" si="1"/>
        <v>75</v>
      </c>
      <c r="O25" s="34">
        <f t="shared" ca="1" si="10"/>
        <v>2890</v>
      </c>
      <c r="Q25" s="44"/>
      <c r="R25" s="40"/>
      <c r="S25" s="40"/>
      <c r="T25" s="40"/>
      <c r="U25" s="40"/>
      <c r="V25" s="40"/>
      <c r="W25" s="40"/>
      <c r="X25" s="40"/>
    </row>
    <row r="26" spans="1:24" x14ac:dyDescent="0.35">
      <c r="A26" s="16">
        <v>22</v>
      </c>
      <c r="B26" s="35">
        <f t="shared" ca="1" si="13"/>
        <v>141</v>
      </c>
      <c r="C26" s="37">
        <f t="shared" ca="1" si="2"/>
        <v>118</v>
      </c>
      <c r="D26" s="35">
        <f t="shared" ca="1" si="3"/>
        <v>118</v>
      </c>
      <c r="E26" s="30">
        <f t="shared" ca="1" si="4"/>
        <v>23</v>
      </c>
      <c r="F26" s="30">
        <f t="shared" ca="1" si="5"/>
        <v>108</v>
      </c>
      <c r="G26" s="30">
        <f t="shared" ca="1" si="11"/>
        <v>109</v>
      </c>
      <c r="H26" s="30">
        <f t="shared" ca="1" si="12"/>
        <v>142</v>
      </c>
      <c r="I26" s="30">
        <f t="shared" ca="1" si="6"/>
        <v>118</v>
      </c>
      <c r="J26" s="32">
        <f t="shared" ca="1" si="7"/>
        <v>3540</v>
      </c>
      <c r="K26" s="33">
        <f t="shared" ca="1" si="8"/>
        <v>0</v>
      </c>
      <c r="L26" s="33">
        <f t="shared" ca="1" si="0"/>
        <v>65</v>
      </c>
      <c r="M26" s="33">
        <f t="shared" ca="1" si="9"/>
        <v>210</v>
      </c>
      <c r="N26" s="33">
        <f t="shared" ca="1" si="1"/>
        <v>75</v>
      </c>
      <c r="O26" s="34">
        <f t="shared" ca="1" si="10"/>
        <v>3190</v>
      </c>
      <c r="Q26" s="40"/>
      <c r="R26" s="40"/>
      <c r="S26" s="40"/>
      <c r="T26" s="40"/>
      <c r="U26" s="40"/>
      <c r="V26" s="40"/>
      <c r="W26" s="40"/>
      <c r="X26" s="40"/>
    </row>
    <row r="27" spans="1:24" x14ac:dyDescent="0.35">
      <c r="A27" s="16">
        <v>23</v>
      </c>
      <c r="B27" s="35">
        <f t="shared" ca="1" si="13"/>
        <v>165</v>
      </c>
      <c r="C27" s="37">
        <f t="shared" ca="1" si="2"/>
        <v>192</v>
      </c>
      <c r="D27" s="35">
        <f t="shared" ca="1" si="3"/>
        <v>165</v>
      </c>
      <c r="E27" s="30">
        <f t="shared" ca="1" si="4"/>
        <v>0</v>
      </c>
      <c r="F27" s="30">
        <f t="shared" ca="1" si="5"/>
        <v>118</v>
      </c>
      <c r="G27" s="30">
        <f t="shared" ca="1" si="11"/>
        <v>108</v>
      </c>
      <c r="H27" s="30">
        <f t="shared" ca="1" si="12"/>
        <v>109</v>
      </c>
      <c r="I27" s="30">
        <f t="shared" ca="1" si="6"/>
        <v>165</v>
      </c>
      <c r="J27" s="32">
        <f t="shared" ca="1" si="7"/>
        <v>4950</v>
      </c>
      <c r="K27" s="33">
        <f t="shared" ca="1" si="8"/>
        <v>864</v>
      </c>
      <c r="L27" s="33">
        <f t="shared" ca="1" si="0"/>
        <v>65</v>
      </c>
      <c r="M27" s="33">
        <f t="shared" ca="1" si="9"/>
        <v>210</v>
      </c>
      <c r="N27" s="33">
        <f t="shared" ca="1" si="1"/>
        <v>75</v>
      </c>
      <c r="O27" s="34">
        <f t="shared" ca="1" si="10"/>
        <v>3736</v>
      </c>
      <c r="Q27" s="40"/>
      <c r="R27" s="40"/>
      <c r="S27" s="40"/>
      <c r="T27" s="40"/>
      <c r="U27" s="40"/>
      <c r="V27" s="40"/>
      <c r="W27" s="40"/>
      <c r="X27" s="40"/>
    </row>
    <row r="28" spans="1:24" x14ac:dyDescent="0.35">
      <c r="A28" s="16">
        <v>24</v>
      </c>
      <c r="B28" s="35">
        <f t="shared" ca="1" si="13"/>
        <v>109</v>
      </c>
      <c r="C28" s="37">
        <f t="shared" ca="1" si="2"/>
        <v>137</v>
      </c>
      <c r="D28" s="35">
        <f t="shared" ca="1" si="3"/>
        <v>109</v>
      </c>
      <c r="E28" s="30">
        <f t="shared" ca="1" si="4"/>
        <v>0</v>
      </c>
      <c r="F28" s="30">
        <f t="shared" ca="1" si="5"/>
        <v>165</v>
      </c>
      <c r="G28" s="30">
        <f t="shared" ca="1" si="11"/>
        <v>118</v>
      </c>
      <c r="H28" s="30">
        <f t="shared" ca="1" si="12"/>
        <v>108</v>
      </c>
      <c r="I28" s="30">
        <f t="shared" ca="1" si="6"/>
        <v>109</v>
      </c>
      <c r="J28" s="32">
        <f t="shared" ca="1" si="7"/>
        <v>3270</v>
      </c>
      <c r="K28" s="33">
        <f t="shared" ca="1" si="8"/>
        <v>896</v>
      </c>
      <c r="L28" s="33">
        <f t="shared" ca="1" si="0"/>
        <v>65</v>
      </c>
      <c r="M28" s="33">
        <f t="shared" ca="1" si="9"/>
        <v>210</v>
      </c>
      <c r="N28" s="33">
        <f t="shared" ca="1" si="1"/>
        <v>75</v>
      </c>
      <c r="O28" s="34">
        <f t="shared" ca="1" si="10"/>
        <v>2024</v>
      </c>
      <c r="Q28" s="40"/>
      <c r="R28" s="40"/>
      <c r="S28" s="40"/>
      <c r="T28" s="40"/>
      <c r="U28" s="40"/>
      <c r="V28" s="40"/>
      <c r="W28" s="40"/>
      <c r="X28" s="40"/>
    </row>
    <row r="29" spans="1:24" x14ac:dyDescent="0.35">
      <c r="A29" s="16">
        <v>25</v>
      </c>
      <c r="B29" s="35">
        <f t="shared" ca="1" si="13"/>
        <v>108</v>
      </c>
      <c r="C29" s="37">
        <f t="shared" ca="1" si="2"/>
        <v>173</v>
      </c>
      <c r="D29" s="35">
        <f t="shared" ca="1" si="3"/>
        <v>108</v>
      </c>
      <c r="E29" s="30">
        <f t="shared" ca="1" si="4"/>
        <v>0</v>
      </c>
      <c r="F29" s="30">
        <f t="shared" ca="1" si="5"/>
        <v>109</v>
      </c>
      <c r="G29" s="30">
        <f t="shared" ca="1" si="11"/>
        <v>165</v>
      </c>
      <c r="H29" s="30">
        <f t="shared" ca="1" si="12"/>
        <v>118</v>
      </c>
      <c r="I29" s="30">
        <f t="shared" ca="1" si="6"/>
        <v>108</v>
      </c>
      <c r="J29" s="32">
        <f t="shared" ca="1" si="7"/>
        <v>3240</v>
      </c>
      <c r="K29" s="33">
        <f t="shared" ca="1" si="8"/>
        <v>2080</v>
      </c>
      <c r="L29" s="33">
        <f t="shared" ca="1" si="0"/>
        <v>65</v>
      </c>
      <c r="M29" s="33">
        <f t="shared" ca="1" si="9"/>
        <v>210</v>
      </c>
      <c r="N29" s="33">
        <f t="shared" ca="1" si="1"/>
        <v>75</v>
      </c>
      <c r="O29" s="34">
        <f t="shared" ca="1" si="10"/>
        <v>810</v>
      </c>
      <c r="Q29" s="40"/>
      <c r="R29" s="40"/>
      <c r="S29" s="40"/>
      <c r="T29" s="40"/>
      <c r="U29" s="40"/>
      <c r="V29" s="40"/>
      <c r="W29" s="40"/>
      <c r="X29" s="40"/>
    </row>
    <row r="30" spans="1:24" x14ac:dyDescent="0.35">
      <c r="A30" s="16">
        <v>26</v>
      </c>
      <c r="B30" s="35">
        <f t="shared" ca="1" si="13"/>
        <v>118</v>
      </c>
      <c r="C30" s="37">
        <f t="shared" ca="1" si="2"/>
        <v>185</v>
      </c>
      <c r="D30" s="35">
        <f t="shared" ca="1" si="3"/>
        <v>118</v>
      </c>
      <c r="E30" s="30">
        <f t="shared" ca="1" si="4"/>
        <v>0</v>
      </c>
      <c r="F30" s="30">
        <f t="shared" ca="1" si="5"/>
        <v>108</v>
      </c>
      <c r="G30" s="30">
        <f t="shared" ca="1" si="11"/>
        <v>109</v>
      </c>
      <c r="H30" s="30">
        <f t="shared" ca="1" si="12"/>
        <v>165</v>
      </c>
      <c r="I30" s="30">
        <f t="shared" ca="1" si="6"/>
        <v>118</v>
      </c>
      <c r="J30" s="32">
        <f t="shared" ca="1" si="7"/>
        <v>3540</v>
      </c>
      <c r="K30" s="33">
        <f t="shared" ca="1" si="8"/>
        <v>2144</v>
      </c>
      <c r="L30" s="33">
        <f t="shared" ca="1" si="0"/>
        <v>65</v>
      </c>
      <c r="M30" s="33">
        <f t="shared" ca="1" si="9"/>
        <v>210</v>
      </c>
      <c r="N30" s="33">
        <f t="shared" ca="1" si="1"/>
        <v>75</v>
      </c>
      <c r="O30" s="34">
        <f t="shared" ca="1" si="10"/>
        <v>1046</v>
      </c>
      <c r="Q30" s="40"/>
      <c r="R30" s="40"/>
      <c r="S30" s="40"/>
      <c r="T30" s="40"/>
      <c r="U30" s="40"/>
      <c r="V30" s="40"/>
      <c r="W30" s="40"/>
      <c r="X30" s="40"/>
    </row>
    <row r="31" spans="1:24" x14ac:dyDescent="0.35">
      <c r="A31" s="16">
        <v>27</v>
      </c>
      <c r="B31" s="35">
        <f t="shared" ca="1" si="13"/>
        <v>165</v>
      </c>
      <c r="C31" s="37">
        <f t="shared" ca="1" si="2"/>
        <v>194</v>
      </c>
      <c r="D31" s="35">
        <f t="shared" ca="1" si="3"/>
        <v>165</v>
      </c>
      <c r="E31" s="30">
        <f t="shared" ca="1" si="4"/>
        <v>0</v>
      </c>
      <c r="F31" s="30">
        <f t="shared" ca="1" si="5"/>
        <v>118</v>
      </c>
      <c r="G31" s="30">
        <f t="shared" ca="1" si="11"/>
        <v>108</v>
      </c>
      <c r="H31" s="30">
        <f t="shared" ca="1" si="12"/>
        <v>109</v>
      </c>
      <c r="I31" s="30">
        <f t="shared" ca="1" si="6"/>
        <v>165</v>
      </c>
      <c r="J31" s="32">
        <f t="shared" ca="1" si="7"/>
        <v>4950</v>
      </c>
      <c r="K31" s="33">
        <f t="shared" ca="1" si="8"/>
        <v>928</v>
      </c>
      <c r="L31" s="33">
        <f t="shared" ca="1" si="0"/>
        <v>65</v>
      </c>
      <c r="M31" s="33">
        <f t="shared" ca="1" si="9"/>
        <v>210</v>
      </c>
      <c r="N31" s="33">
        <f t="shared" ca="1" si="1"/>
        <v>75</v>
      </c>
      <c r="O31" s="34">
        <f t="shared" ca="1" si="10"/>
        <v>3672</v>
      </c>
      <c r="Q31" s="40"/>
      <c r="R31" s="40"/>
      <c r="S31" s="40"/>
      <c r="T31" s="40"/>
      <c r="U31" s="40"/>
      <c r="V31" s="40"/>
      <c r="W31" s="40"/>
      <c r="X31" s="40"/>
    </row>
    <row r="32" spans="1:24" x14ac:dyDescent="0.35">
      <c r="A32" s="16">
        <v>28</v>
      </c>
      <c r="B32" s="35">
        <f t="shared" ca="1" si="13"/>
        <v>109</v>
      </c>
      <c r="C32" s="37">
        <f t="shared" ca="1" si="2"/>
        <v>200</v>
      </c>
      <c r="D32" s="35">
        <f t="shared" ca="1" si="3"/>
        <v>109</v>
      </c>
      <c r="E32" s="30">
        <f t="shared" ca="1" si="4"/>
        <v>0</v>
      </c>
      <c r="F32" s="30">
        <f t="shared" ca="1" si="5"/>
        <v>165</v>
      </c>
      <c r="G32" s="30">
        <f t="shared" ca="1" si="11"/>
        <v>118</v>
      </c>
      <c r="H32" s="30">
        <f t="shared" ca="1" si="12"/>
        <v>108</v>
      </c>
      <c r="I32" s="30">
        <f t="shared" ca="1" si="6"/>
        <v>109</v>
      </c>
      <c r="J32" s="32">
        <f t="shared" ca="1" si="7"/>
        <v>3270</v>
      </c>
      <c r="K32" s="33">
        <f t="shared" ca="1" si="8"/>
        <v>2912</v>
      </c>
      <c r="L32" s="33">
        <f t="shared" ca="1" si="0"/>
        <v>65</v>
      </c>
      <c r="M32" s="33">
        <f t="shared" ca="1" si="9"/>
        <v>210</v>
      </c>
      <c r="N32" s="33">
        <f t="shared" ca="1" si="1"/>
        <v>75</v>
      </c>
      <c r="O32" s="34">
        <f t="shared" ca="1" si="10"/>
        <v>8</v>
      </c>
      <c r="Q32" s="40"/>
      <c r="R32" s="40"/>
      <c r="S32" s="40"/>
      <c r="T32" s="40"/>
      <c r="U32" s="40"/>
      <c r="V32" s="40"/>
      <c r="W32" s="40"/>
      <c r="X32" s="40"/>
    </row>
    <row r="33" spans="1:24" x14ac:dyDescent="0.35">
      <c r="A33" s="16">
        <v>29</v>
      </c>
      <c r="B33" s="35">
        <f t="shared" ca="1" si="13"/>
        <v>108</v>
      </c>
      <c r="C33" s="37">
        <f t="shared" ca="1" si="2"/>
        <v>143</v>
      </c>
      <c r="D33" s="35">
        <f t="shared" ca="1" si="3"/>
        <v>108</v>
      </c>
      <c r="E33" s="30">
        <f t="shared" ca="1" si="4"/>
        <v>0</v>
      </c>
      <c r="F33" s="30">
        <f t="shared" ca="1" si="5"/>
        <v>109</v>
      </c>
      <c r="G33" s="30">
        <f t="shared" ca="1" si="11"/>
        <v>165</v>
      </c>
      <c r="H33" s="30">
        <f t="shared" ca="1" si="12"/>
        <v>118</v>
      </c>
      <c r="I33" s="30">
        <f t="shared" ca="1" si="6"/>
        <v>108</v>
      </c>
      <c r="J33" s="32">
        <f t="shared" ca="1" si="7"/>
        <v>3240</v>
      </c>
      <c r="K33" s="33">
        <f t="shared" ca="1" si="8"/>
        <v>1120</v>
      </c>
      <c r="L33" s="33">
        <f t="shared" ca="1" si="0"/>
        <v>65</v>
      </c>
      <c r="M33" s="33">
        <f t="shared" ca="1" si="9"/>
        <v>210</v>
      </c>
      <c r="N33" s="33">
        <f t="shared" ca="1" si="1"/>
        <v>75</v>
      </c>
      <c r="O33" s="34">
        <f t="shared" ca="1" si="10"/>
        <v>1770</v>
      </c>
      <c r="Q33" s="40"/>
      <c r="R33" s="40"/>
      <c r="S33" s="40"/>
      <c r="T33" s="40"/>
      <c r="U33" s="40"/>
      <c r="V33" s="40"/>
      <c r="W33" s="40"/>
      <c r="X33" s="40"/>
    </row>
    <row r="34" spans="1:24" x14ac:dyDescent="0.35">
      <c r="A34" s="16">
        <v>30</v>
      </c>
      <c r="B34" s="35">
        <f t="shared" ca="1" si="13"/>
        <v>118</v>
      </c>
      <c r="C34" s="37">
        <f t="shared" ca="1" si="2"/>
        <v>122</v>
      </c>
      <c r="D34" s="35">
        <f t="shared" ca="1" si="3"/>
        <v>118</v>
      </c>
      <c r="E34" s="30">
        <f t="shared" ca="1" si="4"/>
        <v>0</v>
      </c>
      <c r="F34" s="30">
        <f t="shared" ca="1" si="5"/>
        <v>108</v>
      </c>
      <c r="G34" s="30">
        <f t="shared" ca="1" si="11"/>
        <v>109</v>
      </c>
      <c r="H34" s="30">
        <f t="shared" ca="1" si="12"/>
        <v>165</v>
      </c>
      <c r="I34" s="30">
        <f t="shared" ca="1" si="6"/>
        <v>118</v>
      </c>
      <c r="J34" s="32">
        <f t="shared" ca="1" si="7"/>
        <v>3540</v>
      </c>
      <c r="K34" s="33">
        <f t="shared" ca="1" si="8"/>
        <v>128</v>
      </c>
      <c r="L34" s="33">
        <f t="shared" ca="1" si="0"/>
        <v>65</v>
      </c>
      <c r="M34" s="33">
        <f t="shared" ca="1" si="9"/>
        <v>210</v>
      </c>
      <c r="N34" s="33">
        <f t="shared" ca="1" si="1"/>
        <v>75</v>
      </c>
      <c r="O34" s="34">
        <f t="shared" ca="1" si="10"/>
        <v>3062</v>
      </c>
      <c r="Q34" s="40"/>
      <c r="R34" s="40"/>
      <c r="S34" s="40"/>
      <c r="T34" s="40"/>
      <c r="U34" s="40"/>
      <c r="V34" s="40"/>
      <c r="W34" s="40"/>
      <c r="X34" s="40"/>
    </row>
    <row r="35" spans="1:24" x14ac:dyDescent="0.35">
      <c r="A35" s="16">
        <v>31</v>
      </c>
      <c r="B35" s="35">
        <f t="shared" ca="1" si="13"/>
        <v>165</v>
      </c>
      <c r="C35" s="37">
        <f t="shared" ca="1" si="2"/>
        <v>149</v>
      </c>
      <c r="D35" s="35">
        <f t="shared" ca="1" si="3"/>
        <v>149</v>
      </c>
      <c r="E35" s="30">
        <f t="shared" ca="1" si="4"/>
        <v>16</v>
      </c>
      <c r="F35" s="30">
        <f t="shared" ca="1" si="5"/>
        <v>118</v>
      </c>
      <c r="G35" s="30">
        <f t="shared" ca="1" si="11"/>
        <v>108</v>
      </c>
      <c r="H35" s="30">
        <f t="shared" ca="1" si="12"/>
        <v>109</v>
      </c>
      <c r="I35" s="30">
        <f t="shared" ca="1" si="6"/>
        <v>149</v>
      </c>
      <c r="J35" s="32">
        <f t="shared" ca="1" si="7"/>
        <v>4470</v>
      </c>
      <c r="K35" s="33">
        <f t="shared" ca="1" si="8"/>
        <v>0</v>
      </c>
      <c r="L35" s="33">
        <f t="shared" ca="1" si="0"/>
        <v>65</v>
      </c>
      <c r="M35" s="33">
        <f t="shared" ca="1" si="9"/>
        <v>210</v>
      </c>
      <c r="N35" s="33">
        <f t="shared" ca="1" si="1"/>
        <v>75</v>
      </c>
      <c r="O35" s="34">
        <f t="shared" ca="1" si="10"/>
        <v>4120</v>
      </c>
      <c r="Q35" s="40"/>
      <c r="R35" s="40"/>
      <c r="S35" s="40"/>
      <c r="T35" s="40"/>
      <c r="U35" s="40"/>
      <c r="V35" s="40"/>
      <c r="W35" s="40"/>
      <c r="X35" s="40"/>
    </row>
    <row r="36" spans="1:24" x14ac:dyDescent="0.35">
      <c r="A36" s="16">
        <v>32</v>
      </c>
      <c r="B36" s="35">
        <f t="shared" ca="1" si="13"/>
        <v>125</v>
      </c>
      <c r="C36" s="37">
        <f t="shared" ca="1" si="2"/>
        <v>217</v>
      </c>
      <c r="D36" s="35">
        <f t="shared" ca="1" si="3"/>
        <v>125</v>
      </c>
      <c r="E36" s="30">
        <f t="shared" ca="1" si="4"/>
        <v>0</v>
      </c>
      <c r="F36" s="30">
        <f t="shared" ca="1" si="5"/>
        <v>149</v>
      </c>
      <c r="G36" s="30">
        <f t="shared" ca="1" si="11"/>
        <v>118</v>
      </c>
      <c r="H36" s="30">
        <f t="shared" ca="1" si="12"/>
        <v>108</v>
      </c>
      <c r="I36" s="30">
        <f t="shared" ca="1" si="6"/>
        <v>125</v>
      </c>
      <c r="J36" s="32">
        <f t="shared" ca="1" si="7"/>
        <v>3750</v>
      </c>
      <c r="K36" s="33">
        <f t="shared" ca="1" si="8"/>
        <v>2944</v>
      </c>
      <c r="L36" s="33">
        <f t="shared" ca="1" si="0"/>
        <v>65</v>
      </c>
      <c r="M36" s="33">
        <f t="shared" ca="1" si="9"/>
        <v>210</v>
      </c>
      <c r="N36" s="33">
        <f t="shared" ca="1" si="1"/>
        <v>75</v>
      </c>
      <c r="O36" s="34">
        <f t="shared" ca="1" si="10"/>
        <v>456</v>
      </c>
      <c r="Q36" s="40"/>
      <c r="R36" s="40"/>
      <c r="S36" s="40"/>
      <c r="T36" s="40"/>
      <c r="U36" s="40"/>
      <c r="V36" s="40"/>
      <c r="W36" s="40"/>
      <c r="X36" s="40"/>
    </row>
    <row r="37" spans="1:24" x14ac:dyDescent="0.35">
      <c r="A37" s="16">
        <v>33</v>
      </c>
      <c r="B37" s="35">
        <f t="shared" ca="1" si="13"/>
        <v>108</v>
      </c>
      <c r="C37" s="37">
        <f t="shared" ca="1" si="2"/>
        <v>198</v>
      </c>
      <c r="D37" s="35">
        <f t="shared" ca="1" si="3"/>
        <v>108</v>
      </c>
      <c r="E37" s="30">
        <f t="shared" ca="1" si="4"/>
        <v>0</v>
      </c>
      <c r="F37" s="30">
        <f t="shared" ca="1" si="5"/>
        <v>125</v>
      </c>
      <c r="G37" s="30">
        <f t="shared" ca="1" si="11"/>
        <v>149</v>
      </c>
      <c r="H37" s="30">
        <f t="shared" ca="1" si="12"/>
        <v>118</v>
      </c>
      <c r="I37" s="30">
        <f t="shared" ca="1" si="6"/>
        <v>108</v>
      </c>
      <c r="J37" s="32">
        <f t="shared" ca="1" si="7"/>
        <v>3240</v>
      </c>
      <c r="K37" s="33">
        <f t="shared" ca="1" si="8"/>
        <v>2880</v>
      </c>
      <c r="L37" s="33">
        <f t="shared" ref="L37:L56" ca="1" si="14">IF(I37&gt;0,L$3,0)</f>
        <v>65</v>
      </c>
      <c r="M37" s="33">
        <f t="shared" ca="1" si="9"/>
        <v>210</v>
      </c>
      <c r="N37" s="33">
        <f t="shared" ref="N37:N56" ca="1" si="15">IF(I37&gt;0,N$3,0)</f>
        <v>75</v>
      </c>
      <c r="O37" s="34">
        <f t="shared" ca="1" si="10"/>
        <v>10</v>
      </c>
      <c r="Q37" s="40"/>
      <c r="R37" s="40"/>
      <c r="S37" s="40"/>
      <c r="T37" s="40"/>
      <c r="U37" s="40"/>
      <c r="V37" s="40"/>
      <c r="W37" s="40"/>
      <c r="X37" s="40"/>
    </row>
    <row r="38" spans="1:24" x14ac:dyDescent="0.35">
      <c r="A38" s="16">
        <v>34</v>
      </c>
      <c r="B38" s="35">
        <f t="shared" ca="1" si="13"/>
        <v>118</v>
      </c>
      <c r="C38" s="37">
        <f t="shared" ca="1" si="2"/>
        <v>175</v>
      </c>
      <c r="D38" s="35">
        <f t="shared" ca="1" si="3"/>
        <v>118</v>
      </c>
      <c r="E38" s="30">
        <f t="shared" ca="1" si="4"/>
        <v>0</v>
      </c>
      <c r="F38" s="30">
        <f t="shared" ca="1" si="5"/>
        <v>108</v>
      </c>
      <c r="G38" s="30">
        <f t="shared" ca="1" si="11"/>
        <v>125</v>
      </c>
      <c r="H38" s="30">
        <f t="shared" ca="1" si="12"/>
        <v>149</v>
      </c>
      <c r="I38" s="30">
        <f t="shared" ca="1" si="6"/>
        <v>118</v>
      </c>
      <c r="J38" s="32">
        <f t="shared" ca="1" si="7"/>
        <v>3540</v>
      </c>
      <c r="K38" s="33">
        <f t="shared" ca="1" si="8"/>
        <v>1824</v>
      </c>
      <c r="L38" s="33">
        <f t="shared" ca="1" si="14"/>
        <v>65</v>
      </c>
      <c r="M38" s="33">
        <f t="shared" ca="1" si="9"/>
        <v>210</v>
      </c>
      <c r="N38" s="33">
        <f t="shared" ca="1" si="15"/>
        <v>75</v>
      </c>
      <c r="O38" s="34">
        <f t="shared" ca="1" si="10"/>
        <v>1366</v>
      </c>
      <c r="Q38" s="40"/>
      <c r="R38" s="40"/>
      <c r="S38" s="40"/>
      <c r="T38" s="40"/>
      <c r="U38" s="40"/>
      <c r="V38" s="40"/>
      <c r="W38" s="40"/>
      <c r="X38" s="40"/>
    </row>
    <row r="39" spans="1:24" x14ac:dyDescent="0.35">
      <c r="A39" s="16">
        <v>35</v>
      </c>
      <c r="B39" s="35">
        <f t="shared" ca="1" si="13"/>
        <v>149</v>
      </c>
      <c r="C39" s="37">
        <f t="shared" ca="1" si="2"/>
        <v>140</v>
      </c>
      <c r="D39" s="35">
        <f t="shared" ca="1" si="3"/>
        <v>140</v>
      </c>
      <c r="E39" s="30">
        <f t="shared" ca="1" si="4"/>
        <v>9</v>
      </c>
      <c r="F39" s="30">
        <f t="shared" ca="1" si="5"/>
        <v>118</v>
      </c>
      <c r="G39" s="30">
        <f t="shared" ca="1" si="11"/>
        <v>108</v>
      </c>
      <c r="H39" s="30">
        <f t="shared" ca="1" si="12"/>
        <v>125</v>
      </c>
      <c r="I39" s="30">
        <f t="shared" ca="1" si="6"/>
        <v>140</v>
      </c>
      <c r="J39" s="32">
        <f t="shared" ca="1" si="7"/>
        <v>4200</v>
      </c>
      <c r="K39" s="33">
        <f t="shared" ca="1" si="8"/>
        <v>0</v>
      </c>
      <c r="L39" s="33">
        <f t="shared" ca="1" si="14"/>
        <v>65</v>
      </c>
      <c r="M39" s="33">
        <f t="shared" ca="1" si="9"/>
        <v>210</v>
      </c>
      <c r="N39" s="33">
        <f t="shared" ca="1" si="15"/>
        <v>75</v>
      </c>
      <c r="O39" s="34">
        <f t="shared" ca="1" si="10"/>
        <v>3850</v>
      </c>
      <c r="Q39" s="40"/>
      <c r="R39" s="40"/>
      <c r="S39" s="40"/>
      <c r="T39" s="40"/>
      <c r="U39" s="40"/>
      <c r="V39" s="40"/>
      <c r="W39" s="40"/>
      <c r="X39" s="40"/>
    </row>
    <row r="40" spans="1:24" x14ac:dyDescent="0.35">
      <c r="A40" s="16">
        <v>36</v>
      </c>
      <c r="B40" s="35">
        <f t="shared" ca="1" si="13"/>
        <v>134</v>
      </c>
      <c r="C40" s="37">
        <f t="shared" ca="1" si="2"/>
        <v>131</v>
      </c>
      <c r="D40" s="35">
        <f t="shared" ca="1" si="3"/>
        <v>131</v>
      </c>
      <c r="E40" s="30">
        <f t="shared" ca="1" si="4"/>
        <v>3</v>
      </c>
      <c r="F40" s="30">
        <f t="shared" ca="1" si="5"/>
        <v>140</v>
      </c>
      <c r="G40" s="30">
        <f t="shared" ca="1" si="11"/>
        <v>118</v>
      </c>
      <c r="H40" s="30">
        <f t="shared" ca="1" si="12"/>
        <v>108</v>
      </c>
      <c r="I40" s="30">
        <f t="shared" ca="1" si="6"/>
        <v>131</v>
      </c>
      <c r="J40" s="32">
        <f t="shared" ca="1" si="7"/>
        <v>3930</v>
      </c>
      <c r="K40" s="33">
        <f t="shared" ca="1" si="8"/>
        <v>0</v>
      </c>
      <c r="L40" s="33">
        <f t="shared" ca="1" si="14"/>
        <v>65</v>
      </c>
      <c r="M40" s="33">
        <f t="shared" ca="1" si="9"/>
        <v>210</v>
      </c>
      <c r="N40" s="33">
        <f t="shared" ca="1" si="15"/>
        <v>75</v>
      </c>
      <c r="O40" s="34">
        <f t="shared" ca="1" si="10"/>
        <v>3580</v>
      </c>
      <c r="Q40" s="40"/>
      <c r="R40" s="40"/>
      <c r="S40" s="40"/>
      <c r="T40" s="40"/>
      <c r="U40" s="40"/>
      <c r="V40" s="40"/>
      <c r="W40" s="40"/>
      <c r="X40" s="40"/>
    </row>
    <row r="41" spans="1:24" x14ac:dyDescent="0.35">
      <c r="A41" s="16">
        <v>37</v>
      </c>
      <c r="B41" s="35">
        <f t="shared" ca="1" si="13"/>
        <v>111</v>
      </c>
      <c r="C41" s="37">
        <f t="shared" ca="1" si="2"/>
        <v>118</v>
      </c>
      <c r="D41" s="35">
        <f t="shared" ca="1" si="3"/>
        <v>111</v>
      </c>
      <c r="E41" s="30">
        <f t="shared" ca="1" si="4"/>
        <v>0</v>
      </c>
      <c r="F41" s="30">
        <f t="shared" ca="1" si="5"/>
        <v>131</v>
      </c>
      <c r="G41" s="30">
        <f t="shared" ca="1" si="11"/>
        <v>140</v>
      </c>
      <c r="H41" s="30">
        <f t="shared" ca="1" si="12"/>
        <v>118</v>
      </c>
      <c r="I41" s="30">
        <f t="shared" ca="1" si="6"/>
        <v>111</v>
      </c>
      <c r="J41" s="32">
        <f t="shared" ca="1" si="7"/>
        <v>3330</v>
      </c>
      <c r="K41" s="33">
        <f t="shared" ca="1" si="8"/>
        <v>224</v>
      </c>
      <c r="L41" s="33">
        <f t="shared" ca="1" si="14"/>
        <v>65</v>
      </c>
      <c r="M41" s="33">
        <f t="shared" ca="1" si="9"/>
        <v>210</v>
      </c>
      <c r="N41" s="33">
        <f t="shared" ca="1" si="15"/>
        <v>75</v>
      </c>
      <c r="O41" s="34">
        <f t="shared" ca="1" si="10"/>
        <v>2756</v>
      </c>
      <c r="Q41" s="40"/>
      <c r="R41" s="40"/>
      <c r="S41" s="40"/>
      <c r="T41" s="40"/>
      <c r="U41" s="40"/>
      <c r="V41" s="40"/>
      <c r="W41" s="40"/>
      <c r="X41" s="40"/>
    </row>
    <row r="42" spans="1:24" x14ac:dyDescent="0.35">
      <c r="A42" s="16">
        <v>38</v>
      </c>
      <c r="B42" s="35">
        <f t="shared" ca="1" si="13"/>
        <v>118</v>
      </c>
      <c r="C42" s="37">
        <f t="shared" ca="1" si="2"/>
        <v>119</v>
      </c>
      <c r="D42" s="35">
        <f t="shared" ca="1" si="3"/>
        <v>118</v>
      </c>
      <c r="E42" s="30">
        <f t="shared" ca="1" si="4"/>
        <v>0</v>
      </c>
      <c r="F42" s="30">
        <f t="shared" ca="1" si="5"/>
        <v>111</v>
      </c>
      <c r="G42" s="30">
        <f t="shared" ca="1" si="11"/>
        <v>131</v>
      </c>
      <c r="H42" s="30">
        <f t="shared" ca="1" si="12"/>
        <v>140</v>
      </c>
      <c r="I42" s="30">
        <f t="shared" ca="1" si="6"/>
        <v>118</v>
      </c>
      <c r="J42" s="32">
        <f t="shared" ca="1" si="7"/>
        <v>3540</v>
      </c>
      <c r="K42" s="33">
        <f t="shared" ca="1" si="8"/>
        <v>32</v>
      </c>
      <c r="L42" s="33">
        <f t="shared" ca="1" si="14"/>
        <v>65</v>
      </c>
      <c r="M42" s="33">
        <f t="shared" ca="1" si="9"/>
        <v>210</v>
      </c>
      <c r="N42" s="33">
        <f t="shared" ca="1" si="15"/>
        <v>75</v>
      </c>
      <c r="O42" s="34">
        <f t="shared" ca="1" si="10"/>
        <v>3158</v>
      </c>
      <c r="Q42" s="40"/>
      <c r="R42" s="40"/>
      <c r="S42" s="40"/>
      <c r="T42" s="40"/>
      <c r="U42" s="40"/>
      <c r="V42" s="40"/>
      <c r="W42" s="40"/>
      <c r="X42" s="40"/>
    </row>
    <row r="43" spans="1:24" x14ac:dyDescent="0.35">
      <c r="A43" s="16">
        <v>39</v>
      </c>
      <c r="B43" s="35">
        <f t="shared" ca="1" si="13"/>
        <v>140</v>
      </c>
      <c r="C43" s="37">
        <f t="shared" ca="1" si="2"/>
        <v>229</v>
      </c>
      <c r="D43" s="35">
        <f t="shared" ca="1" si="3"/>
        <v>140</v>
      </c>
      <c r="E43" s="30">
        <f t="shared" ca="1" si="4"/>
        <v>0</v>
      </c>
      <c r="F43" s="30">
        <f t="shared" ca="1" si="5"/>
        <v>118</v>
      </c>
      <c r="G43" s="30">
        <f t="shared" ca="1" si="11"/>
        <v>111</v>
      </c>
      <c r="H43" s="30">
        <f t="shared" ca="1" si="12"/>
        <v>131</v>
      </c>
      <c r="I43" s="30">
        <f t="shared" ca="1" si="6"/>
        <v>140</v>
      </c>
      <c r="J43" s="32">
        <f t="shared" ca="1" si="7"/>
        <v>4200</v>
      </c>
      <c r="K43" s="33">
        <f t="shared" ca="1" si="8"/>
        <v>2848</v>
      </c>
      <c r="L43" s="33">
        <f t="shared" ca="1" si="14"/>
        <v>65</v>
      </c>
      <c r="M43" s="33">
        <f t="shared" ca="1" si="9"/>
        <v>210</v>
      </c>
      <c r="N43" s="33">
        <f t="shared" ca="1" si="15"/>
        <v>75</v>
      </c>
      <c r="O43" s="34">
        <f t="shared" ca="1" si="10"/>
        <v>1002</v>
      </c>
      <c r="Q43" s="40"/>
      <c r="R43" s="40"/>
      <c r="S43" s="40"/>
      <c r="T43" s="40"/>
      <c r="U43" s="40"/>
      <c r="V43" s="40"/>
      <c r="W43" s="40"/>
      <c r="X43" s="40"/>
    </row>
    <row r="44" spans="1:24" x14ac:dyDescent="0.35">
      <c r="A44" s="16">
        <v>40</v>
      </c>
      <c r="B44" s="35">
        <f t="shared" ca="1" si="13"/>
        <v>131</v>
      </c>
      <c r="C44" s="37">
        <f t="shared" ca="1" si="2"/>
        <v>194</v>
      </c>
      <c r="D44" s="35">
        <f t="shared" ca="1" si="3"/>
        <v>131</v>
      </c>
      <c r="E44" s="30">
        <f t="shared" ca="1" si="4"/>
        <v>0</v>
      </c>
      <c r="F44" s="30">
        <f t="shared" ca="1" si="5"/>
        <v>140</v>
      </c>
      <c r="G44" s="30">
        <f t="shared" ca="1" si="11"/>
        <v>118</v>
      </c>
      <c r="H44" s="30">
        <f t="shared" ca="1" si="12"/>
        <v>111</v>
      </c>
      <c r="I44" s="30">
        <f t="shared" ca="1" si="6"/>
        <v>131</v>
      </c>
      <c r="J44" s="32">
        <f t="shared" ca="1" si="7"/>
        <v>3930</v>
      </c>
      <c r="K44" s="33">
        <f t="shared" ca="1" si="8"/>
        <v>2016</v>
      </c>
      <c r="L44" s="33">
        <f t="shared" ca="1" si="14"/>
        <v>65</v>
      </c>
      <c r="M44" s="33">
        <f t="shared" ca="1" si="9"/>
        <v>210</v>
      </c>
      <c r="N44" s="33">
        <f t="shared" ca="1" si="15"/>
        <v>75</v>
      </c>
      <c r="O44" s="34">
        <f t="shared" ca="1" si="10"/>
        <v>1564</v>
      </c>
      <c r="Q44" s="40"/>
      <c r="R44" s="40"/>
      <c r="S44" s="40"/>
      <c r="T44" s="40"/>
      <c r="U44" s="40"/>
      <c r="V44" s="40"/>
      <c r="W44" s="40"/>
      <c r="X44" s="40"/>
    </row>
    <row r="45" spans="1:24" x14ac:dyDescent="0.35">
      <c r="A45" s="16">
        <v>41</v>
      </c>
      <c r="B45" s="35">
        <f t="shared" ca="1" si="13"/>
        <v>111</v>
      </c>
      <c r="C45" s="37">
        <f t="shared" ca="1" si="2"/>
        <v>200</v>
      </c>
      <c r="D45" s="35">
        <f t="shared" ca="1" si="3"/>
        <v>111</v>
      </c>
      <c r="E45" s="30">
        <f t="shared" ca="1" si="4"/>
        <v>0</v>
      </c>
      <c r="F45" s="30">
        <f t="shared" ca="1" si="5"/>
        <v>131</v>
      </c>
      <c r="G45" s="30">
        <f t="shared" ca="1" si="11"/>
        <v>140</v>
      </c>
      <c r="H45" s="30">
        <f t="shared" ca="1" si="12"/>
        <v>118</v>
      </c>
      <c r="I45" s="30">
        <f t="shared" ca="1" si="6"/>
        <v>111</v>
      </c>
      <c r="J45" s="32">
        <f t="shared" ca="1" si="7"/>
        <v>3330</v>
      </c>
      <c r="K45" s="33">
        <f t="shared" ca="1" si="8"/>
        <v>2848</v>
      </c>
      <c r="L45" s="33">
        <f t="shared" ca="1" si="14"/>
        <v>65</v>
      </c>
      <c r="M45" s="33">
        <f t="shared" ca="1" si="9"/>
        <v>210</v>
      </c>
      <c r="N45" s="33">
        <f t="shared" ca="1" si="15"/>
        <v>75</v>
      </c>
      <c r="O45" s="34">
        <f t="shared" ca="1" si="10"/>
        <v>132</v>
      </c>
      <c r="Q45" s="40"/>
      <c r="R45" s="40"/>
      <c r="S45" s="40"/>
      <c r="T45" s="40"/>
      <c r="U45" s="40"/>
      <c r="V45" s="40"/>
      <c r="W45" s="40"/>
      <c r="X45" s="40"/>
    </row>
    <row r="46" spans="1:24" x14ac:dyDescent="0.35">
      <c r="A46" s="16">
        <v>42</v>
      </c>
      <c r="B46" s="35">
        <f t="shared" ca="1" si="13"/>
        <v>118</v>
      </c>
      <c r="C46" s="37">
        <f t="shared" ca="1" si="2"/>
        <v>233</v>
      </c>
      <c r="D46" s="35">
        <f t="shared" ca="1" si="3"/>
        <v>118</v>
      </c>
      <c r="E46" s="30">
        <f t="shared" ca="1" si="4"/>
        <v>0</v>
      </c>
      <c r="F46" s="30">
        <f t="shared" ca="1" si="5"/>
        <v>111</v>
      </c>
      <c r="G46" s="30">
        <f t="shared" ca="1" si="11"/>
        <v>131</v>
      </c>
      <c r="H46" s="30">
        <f t="shared" ca="1" si="12"/>
        <v>140</v>
      </c>
      <c r="I46" s="30">
        <f t="shared" ca="1" si="6"/>
        <v>118</v>
      </c>
      <c r="J46" s="32">
        <f t="shared" ca="1" si="7"/>
        <v>3540</v>
      </c>
      <c r="K46" s="33">
        <f t="shared" ca="1" si="8"/>
        <v>3680</v>
      </c>
      <c r="L46" s="33">
        <f t="shared" ca="1" si="14"/>
        <v>65</v>
      </c>
      <c r="M46" s="33">
        <f t="shared" ca="1" si="9"/>
        <v>210</v>
      </c>
      <c r="N46" s="33">
        <f t="shared" ca="1" si="15"/>
        <v>75</v>
      </c>
      <c r="O46" s="34">
        <f t="shared" ca="1" si="10"/>
        <v>-490</v>
      </c>
      <c r="Q46" s="40"/>
      <c r="R46" s="40"/>
      <c r="S46" s="40"/>
      <c r="T46" s="40"/>
      <c r="U46" s="40"/>
      <c r="V46" s="40"/>
      <c r="W46" s="40"/>
      <c r="X46" s="40"/>
    </row>
    <row r="47" spans="1:24" x14ac:dyDescent="0.35">
      <c r="A47" s="16">
        <v>43</v>
      </c>
      <c r="B47" s="35">
        <f t="shared" ca="1" si="13"/>
        <v>140</v>
      </c>
      <c r="C47" s="37">
        <f t="shared" ca="1" si="2"/>
        <v>104</v>
      </c>
      <c r="D47" s="35">
        <f t="shared" ca="1" si="3"/>
        <v>104</v>
      </c>
      <c r="E47" s="30">
        <f t="shared" ca="1" si="4"/>
        <v>36</v>
      </c>
      <c r="F47" s="30">
        <f t="shared" ca="1" si="5"/>
        <v>118</v>
      </c>
      <c r="G47" s="30">
        <f t="shared" ca="1" si="11"/>
        <v>111</v>
      </c>
      <c r="H47" s="30">
        <f t="shared" ca="1" si="12"/>
        <v>131</v>
      </c>
      <c r="I47" s="30">
        <f t="shared" ca="1" si="6"/>
        <v>104</v>
      </c>
      <c r="J47" s="32">
        <f t="shared" ca="1" si="7"/>
        <v>3120</v>
      </c>
      <c r="K47" s="33">
        <f t="shared" ca="1" si="8"/>
        <v>0</v>
      </c>
      <c r="L47" s="33">
        <f t="shared" ca="1" si="14"/>
        <v>65</v>
      </c>
      <c r="M47" s="33">
        <f t="shared" ca="1" si="9"/>
        <v>210</v>
      </c>
      <c r="N47" s="33">
        <f t="shared" ca="1" si="15"/>
        <v>75</v>
      </c>
      <c r="O47" s="34">
        <f t="shared" ca="1" si="10"/>
        <v>2770</v>
      </c>
      <c r="Q47" s="40"/>
      <c r="R47" s="40"/>
      <c r="S47" s="40"/>
      <c r="T47" s="40"/>
      <c r="U47" s="40"/>
      <c r="V47" s="40"/>
      <c r="W47" s="40"/>
      <c r="X47" s="40"/>
    </row>
    <row r="48" spans="1:24" x14ac:dyDescent="0.35">
      <c r="A48" s="16">
        <v>44</v>
      </c>
      <c r="B48" s="35">
        <f t="shared" ca="1" si="13"/>
        <v>167</v>
      </c>
      <c r="C48" s="37">
        <f t="shared" ca="1" si="2"/>
        <v>184</v>
      </c>
      <c r="D48" s="35">
        <f t="shared" ca="1" si="3"/>
        <v>167</v>
      </c>
      <c r="E48" s="30">
        <f t="shared" ca="1" si="4"/>
        <v>0</v>
      </c>
      <c r="F48" s="30">
        <f t="shared" ca="1" si="5"/>
        <v>104</v>
      </c>
      <c r="G48" s="30">
        <f t="shared" ca="1" si="11"/>
        <v>118</v>
      </c>
      <c r="H48" s="30">
        <f t="shared" ca="1" si="12"/>
        <v>111</v>
      </c>
      <c r="I48" s="30">
        <f t="shared" ca="1" si="6"/>
        <v>167</v>
      </c>
      <c r="J48" s="32">
        <f t="shared" ca="1" si="7"/>
        <v>5010</v>
      </c>
      <c r="K48" s="33">
        <f t="shared" ca="1" si="8"/>
        <v>544</v>
      </c>
      <c r="L48" s="33">
        <f t="shared" ca="1" si="14"/>
        <v>65</v>
      </c>
      <c r="M48" s="33">
        <f t="shared" ca="1" si="9"/>
        <v>210</v>
      </c>
      <c r="N48" s="33">
        <f t="shared" ca="1" si="15"/>
        <v>75</v>
      </c>
      <c r="O48" s="34">
        <f t="shared" ca="1" si="10"/>
        <v>4116</v>
      </c>
    </row>
    <row r="49" spans="1:15" x14ac:dyDescent="0.35">
      <c r="A49" s="16">
        <v>45</v>
      </c>
      <c r="B49" s="35">
        <f t="shared" ca="1" si="13"/>
        <v>111</v>
      </c>
      <c r="C49" s="37">
        <f t="shared" ca="1" si="2"/>
        <v>155</v>
      </c>
      <c r="D49" s="35">
        <f t="shared" ca="1" si="3"/>
        <v>111</v>
      </c>
      <c r="E49" s="30">
        <f t="shared" ca="1" si="4"/>
        <v>0</v>
      </c>
      <c r="F49" s="30">
        <f t="shared" ca="1" si="5"/>
        <v>167</v>
      </c>
      <c r="G49" s="30">
        <f t="shared" ca="1" si="11"/>
        <v>104</v>
      </c>
      <c r="H49" s="30">
        <f t="shared" ca="1" si="12"/>
        <v>118</v>
      </c>
      <c r="I49" s="30">
        <f t="shared" ca="1" si="6"/>
        <v>111</v>
      </c>
      <c r="J49" s="32">
        <f t="shared" ca="1" si="7"/>
        <v>3330</v>
      </c>
      <c r="K49" s="33">
        <f t="shared" ca="1" si="8"/>
        <v>1408</v>
      </c>
      <c r="L49" s="33">
        <f t="shared" ca="1" si="14"/>
        <v>65</v>
      </c>
      <c r="M49" s="33">
        <f t="shared" ca="1" si="9"/>
        <v>210</v>
      </c>
      <c r="N49" s="33">
        <f t="shared" ca="1" si="15"/>
        <v>75</v>
      </c>
      <c r="O49" s="34">
        <f t="shared" ca="1" si="10"/>
        <v>1572</v>
      </c>
    </row>
    <row r="50" spans="1:15" x14ac:dyDescent="0.35">
      <c r="A50" s="16">
        <v>46</v>
      </c>
      <c r="B50" s="35">
        <f t="shared" ca="1" si="13"/>
        <v>118</v>
      </c>
      <c r="C50" s="37">
        <f t="shared" ca="1" si="2"/>
        <v>118</v>
      </c>
      <c r="D50" s="35">
        <f t="shared" ca="1" si="3"/>
        <v>118</v>
      </c>
      <c r="E50" s="30">
        <f t="shared" ca="1" si="4"/>
        <v>0</v>
      </c>
      <c r="F50" s="30">
        <f t="shared" ca="1" si="5"/>
        <v>111</v>
      </c>
      <c r="G50" s="30">
        <f t="shared" ca="1" si="11"/>
        <v>167</v>
      </c>
      <c r="H50" s="30">
        <f t="shared" ca="1" si="12"/>
        <v>104</v>
      </c>
      <c r="I50" s="30">
        <f t="shared" ca="1" si="6"/>
        <v>118</v>
      </c>
      <c r="J50" s="32">
        <f t="shared" ca="1" si="7"/>
        <v>3540</v>
      </c>
      <c r="K50" s="33">
        <f t="shared" ca="1" si="8"/>
        <v>0</v>
      </c>
      <c r="L50" s="33">
        <f t="shared" ca="1" si="14"/>
        <v>65</v>
      </c>
      <c r="M50" s="33">
        <f t="shared" ca="1" si="9"/>
        <v>210</v>
      </c>
      <c r="N50" s="33">
        <f t="shared" ca="1" si="15"/>
        <v>75</v>
      </c>
      <c r="O50" s="34">
        <f t="shared" ca="1" si="10"/>
        <v>3190</v>
      </c>
    </row>
    <row r="51" spans="1:15" x14ac:dyDescent="0.35">
      <c r="A51" s="16">
        <v>47</v>
      </c>
      <c r="B51" s="35">
        <f t="shared" ca="1" si="13"/>
        <v>104</v>
      </c>
      <c r="C51" s="37">
        <f t="shared" ca="1" si="2"/>
        <v>224</v>
      </c>
      <c r="D51" s="35">
        <f t="shared" ca="1" si="3"/>
        <v>104</v>
      </c>
      <c r="E51" s="30">
        <f t="shared" ca="1" si="4"/>
        <v>0</v>
      </c>
      <c r="F51" s="30">
        <f t="shared" ca="1" si="5"/>
        <v>118</v>
      </c>
      <c r="G51" s="30">
        <f t="shared" ca="1" si="11"/>
        <v>111</v>
      </c>
      <c r="H51" s="30">
        <f t="shared" ca="1" si="12"/>
        <v>167</v>
      </c>
      <c r="I51" s="30">
        <f t="shared" ca="1" si="6"/>
        <v>104</v>
      </c>
      <c r="J51" s="32">
        <f t="shared" ca="1" si="7"/>
        <v>3120</v>
      </c>
      <c r="K51" s="33">
        <f t="shared" ca="1" si="8"/>
        <v>3840</v>
      </c>
      <c r="L51" s="33">
        <f t="shared" ca="1" si="14"/>
        <v>65</v>
      </c>
      <c r="M51" s="33">
        <f t="shared" ca="1" si="9"/>
        <v>210</v>
      </c>
      <c r="N51" s="33">
        <f t="shared" ca="1" si="15"/>
        <v>75</v>
      </c>
      <c r="O51" s="34">
        <f t="shared" ca="1" si="10"/>
        <v>-1070</v>
      </c>
    </row>
    <row r="52" spans="1:15" x14ac:dyDescent="0.35">
      <c r="A52" s="16">
        <v>48</v>
      </c>
      <c r="B52" s="35">
        <f t="shared" ca="1" si="13"/>
        <v>167</v>
      </c>
      <c r="C52" s="37">
        <f t="shared" ca="1" si="2"/>
        <v>203</v>
      </c>
      <c r="D52" s="35">
        <f t="shared" ca="1" si="3"/>
        <v>167</v>
      </c>
      <c r="E52" s="30">
        <f t="shared" ca="1" si="4"/>
        <v>0</v>
      </c>
      <c r="F52" s="30">
        <f t="shared" ca="1" si="5"/>
        <v>104</v>
      </c>
      <c r="G52" s="30">
        <f t="shared" ca="1" si="11"/>
        <v>118</v>
      </c>
      <c r="H52" s="30">
        <f t="shared" ca="1" si="12"/>
        <v>111</v>
      </c>
      <c r="I52" s="30">
        <f t="shared" ca="1" si="6"/>
        <v>167</v>
      </c>
      <c r="J52" s="32">
        <f t="shared" ca="1" si="7"/>
        <v>5010</v>
      </c>
      <c r="K52" s="33">
        <f t="shared" ca="1" si="8"/>
        <v>1152</v>
      </c>
      <c r="L52" s="33">
        <f t="shared" ca="1" si="14"/>
        <v>65</v>
      </c>
      <c r="M52" s="33">
        <f t="shared" ca="1" si="9"/>
        <v>210</v>
      </c>
      <c r="N52" s="33">
        <f t="shared" ca="1" si="15"/>
        <v>75</v>
      </c>
      <c r="O52" s="34">
        <f t="shared" ca="1" si="10"/>
        <v>3508</v>
      </c>
    </row>
    <row r="53" spans="1:15" x14ac:dyDescent="0.35">
      <c r="A53" s="16">
        <v>49</v>
      </c>
      <c r="B53" s="35">
        <f t="shared" ca="1" si="13"/>
        <v>111</v>
      </c>
      <c r="C53" s="37">
        <f t="shared" ca="1" si="2"/>
        <v>200</v>
      </c>
      <c r="D53" s="35">
        <f t="shared" ca="1" si="3"/>
        <v>111</v>
      </c>
      <c r="E53" s="30">
        <f t="shared" ca="1" si="4"/>
        <v>0</v>
      </c>
      <c r="F53" s="30">
        <f t="shared" ca="1" si="5"/>
        <v>167</v>
      </c>
      <c r="G53" s="30">
        <f t="shared" ca="1" si="11"/>
        <v>104</v>
      </c>
      <c r="H53" s="30">
        <f t="shared" ca="1" si="12"/>
        <v>118</v>
      </c>
      <c r="I53" s="30">
        <f t="shared" ca="1" si="6"/>
        <v>111</v>
      </c>
      <c r="J53" s="32">
        <f t="shared" ca="1" si="7"/>
        <v>3330</v>
      </c>
      <c r="K53" s="33">
        <f t="shared" ca="1" si="8"/>
        <v>2848</v>
      </c>
      <c r="L53" s="33">
        <f t="shared" ca="1" si="14"/>
        <v>65</v>
      </c>
      <c r="M53" s="33">
        <f t="shared" ca="1" si="9"/>
        <v>210</v>
      </c>
      <c r="N53" s="33">
        <f t="shared" ca="1" si="15"/>
        <v>75</v>
      </c>
      <c r="O53" s="34">
        <f t="shared" ca="1" si="10"/>
        <v>132</v>
      </c>
    </row>
    <row r="54" spans="1:15" x14ac:dyDescent="0.35">
      <c r="A54" s="16">
        <v>50</v>
      </c>
      <c r="B54" s="35">
        <f t="shared" ca="1" si="13"/>
        <v>118</v>
      </c>
      <c r="C54" s="37">
        <f t="shared" ca="1" si="2"/>
        <v>250</v>
      </c>
      <c r="D54" s="35">
        <f t="shared" ca="1" si="3"/>
        <v>118</v>
      </c>
      <c r="E54" s="30">
        <f t="shared" ca="1" si="4"/>
        <v>0</v>
      </c>
      <c r="F54" s="30">
        <f t="shared" ca="1" si="5"/>
        <v>111</v>
      </c>
      <c r="G54" s="30">
        <f t="shared" ca="1" si="11"/>
        <v>167</v>
      </c>
      <c r="H54" s="30">
        <f t="shared" ca="1" si="12"/>
        <v>104</v>
      </c>
      <c r="I54" s="30">
        <f t="shared" ca="1" si="6"/>
        <v>118</v>
      </c>
      <c r="J54" s="32">
        <f t="shared" ca="1" si="7"/>
        <v>3540</v>
      </c>
      <c r="K54" s="33">
        <f t="shared" ca="1" si="8"/>
        <v>4224</v>
      </c>
      <c r="L54" s="33">
        <f t="shared" ca="1" si="14"/>
        <v>65</v>
      </c>
      <c r="M54" s="33">
        <f t="shared" ca="1" si="9"/>
        <v>210</v>
      </c>
      <c r="N54" s="33">
        <f t="shared" ca="1" si="15"/>
        <v>75</v>
      </c>
      <c r="O54" s="34">
        <f t="shared" ca="1" si="10"/>
        <v>-1034</v>
      </c>
    </row>
    <row r="55" spans="1:15" x14ac:dyDescent="0.35">
      <c r="A55" s="16">
        <v>51</v>
      </c>
      <c r="B55" s="35">
        <f t="shared" ca="1" si="13"/>
        <v>104</v>
      </c>
      <c r="C55" s="37">
        <f t="shared" ca="1" si="2"/>
        <v>229</v>
      </c>
      <c r="D55" s="35">
        <f t="shared" ca="1" si="3"/>
        <v>104</v>
      </c>
      <c r="E55" s="30">
        <f t="shared" ca="1" si="4"/>
        <v>0</v>
      </c>
      <c r="F55" s="30">
        <f t="shared" ca="1" si="5"/>
        <v>118</v>
      </c>
      <c r="G55" s="30">
        <f t="shared" ca="1" si="11"/>
        <v>111</v>
      </c>
      <c r="H55" s="30">
        <f t="shared" ca="1" si="12"/>
        <v>167</v>
      </c>
      <c r="I55" s="30">
        <f t="shared" ca="1" si="6"/>
        <v>104</v>
      </c>
      <c r="J55" s="32">
        <f t="shared" ca="1" si="7"/>
        <v>3120</v>
      </c>
      <c r="K55" s="33">
        <f t="shared" ca="1" si="8"/>
        <v>4000</v>
      </c>
      <c r="L55" s="33">
        <f t="shared" ca="1" si="14"/>
        <v>65</v>
      </c>
      <c r="M55" s="33">
        <f t="shared" ca="1" si="9"/>
        <v>210</v>
      </c>
      <c r="N55" s="33">
        <f t="shared" ca="1" si="15"/>
        <v>75</v>
      </c>
      <c r="O55" s="34">
        <f t="shared" ca="1" si="10"/>
        <v>-1230</v>
      </c>
    </row>
    <row r="56" spans="1:15" x14ac:dyDescent="0.35">
      <c r="A56" s="19">
        <v>52</v>
      </c>
      <c r="B56" s="35">
        <f t="shared" ca="1" si="13"/>
        <v>167</v>
      </c>
      <c r="C56" s="37">
        <f t="shared" ca="1" si="2"/>
        <v>111</v>
      </c>
      <c r="D56" s="35">
        <f t="shared" ca="1" si="3"/>
        <v>111</v>
      </c>
      <c r="E56" s="30">
        <f t="shared" ca="1" si="4"/>
        <v>56</v>
      </c>
      <c r="F56" s="31">
        <f t="shared" ca="1" si="5"/>
        <v>104</v>
      </c>
      <c r="G56" s="31">
        <f t="shared" ca="1" si="11"/>
        <v>118</v>
      </c>
      <c r="H56" s="30">
        <f t="shared" ca="1" si="12"/>
        <v>111</v>
      </c>
      <c r="I56" s="30">
        <f t="shared" ca="1" si="6"/>
        <v>111</v>
      </c>
      <c r="J56" s="32">
        <f t="shared" ca="1" si="7"/>
        <v>3330</v>
      </c>
      <c r="K56" s="33">
        <f t="shared" ca="1" si="8"/>
        <v>0</v>
      </c>
      <c r="L56" s="33">
        <f t="shared" ca="1" si="14"/>
        <v>65</v>
      </c>
      <c r="M56" s="33">
        <f t="shared" ca="1" si="9"/>
        <v>210</v>
      </c>
      <c r="N56" s="33">
        <f t="shared" ca="1" si="15"/>
        <v>75</v>
      </c>
      <c r="O56" s="34">
        <f t="shared" ca="1" si="10"/>
        <v>2980</v>
      </c>
    </row>
    <row r="57" spans="1:15" x14ac:dyDescent="0.35">
      <c r="B57" s="20">
        <f ca="1">AVERAGE(B5:B56)</f>
        <v>141.07692307692307</v>
      </c>
      <c r="C57" s="21">
        <f ca="1">AVERAGE(C5:C56)</f>
        <v>173.40384615384616</v>
      </c>
      <c r="D57" s="21">
        <f ca="1">AVERAGE(D5:D56)</f>
        <v>123.86538461538461</v>
      </c>
      <c r="E57" s="21">
        <f ca="1">AVERAGE(E5:E56)</f>
        <v>17.21153846153846</v>
      </c>
      <c r="F57" s="21"/>
      <c r="G57" s="21"/>
      <c r="H57" s="21"/>
      <c r="I57" s="21"/>
      <c r="J57" s="22">
        <f ca="1">AVERAGE(J5:J56)</f>
        <v>3715.9615384615386</v>
      </c>
      <c r="K57" s="22">
        <f ca="1">AVERAGE(K5:K56)</f>
        <v>1585.2307692307693</v>
      </c>
      <c r="L57" s="22"/>
      <c r="M57" s="22"/>
      <c r="N57" s="22"/>
      <c r="O57" s="57">
        <f ca="1">AVERAGE(O5:O56)</f>
        <v>1794.1923076923076</v>
      </c>
    </row>
    <row r="255" spans="2:2" x14ac:dyDescent="0.35">
      <c r="B255" s="23"/>
    </row>
  </sheetData>
  <scenarios current="3" show="0" sqref="O57">
    <scenario name="模擬1" locked="1" count="6" user="作者" comment="建立者:B10821018_楊得生_4/25_x000a_此模擬為條件1之測試">
      <inputCells r="I3" val="500"/>
      <inputCells r="J3" val="30"/>
      <inputCells r="K3" val="32"/>
      <inputCells r="L3" val="65"/>
      <inputCells r="M3" val="210"/>
      <inputCells r="N3" val="75"/>
    </scenario>
    <scenario name="模擬2" locked="1" count="6" user="作者" comment="建立者:B10821018_楊得生_4/25_x000a_此模擬為條件2之測試">
      <inputCells r="I3" val="600"/>
      <inputCells r="J3" val="38" numFmtId="176"/>
      <inputCells r="K3" val="33" numFmtId="176"/>
      <inputCells r="L3" val="75" numFmtId="176"/>
      <inputCells r="M3" val="230" numFmtId="176"/>
      <inputCells r="N3" val="85" numFmtId="176"/>
    </scenario>
    <scenario name="模擬3" locked="1" count="6" user="作者" comment="建立者:B10821018_楊得生_4/25_x000a_此模擬為條件3之測試">
      <inputCells r="I3" val="650"/>
      <inputCells r="J3" val="36" numFmtId="176"/>
      <inputCells r="K3" val="34" numFmtId="176"/>
      <inputCells r="L3" val="85" numFmtId="176"/>
      <inputCells r="M3" val="260" numFmtId="176"/>
      <inputCells r="N3" val="95" numFmtId="176"/>
    </scenario>
    <scenario name="模擬4" locked="1" count="6" user="作者" comment="建立者:B10821018_楊得生_4/25_x000a_此模擬為條件4之測試">
      <inputCells r="I3" val="700"/>
      <inputCells r="J3" val="34" numFmtId="176"/>
      <inputCells r="K3" val="35" numFmtId="176"/>
      <inputCells r="L3" val="95" numFmtId="176"/>
      <inputCells r="M3" val="300" numFmtId="176"/>
      <inputCells r="N3" val="115" numFmtId="176"/>
    </scenario>
  </scenarios>
  <mergeCells count="2">
    <mergeCell ref="A2:D2"/>
    <mergeCell ref="A3:D3"/>
  </mergeCells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6</vt:i4>
      </vt:variant>
    </vt:vector>
  </HeadingPairs>
  <TitlesOfParts>
    <vt:vector size="8" baseType="lpstr">
      <vt:lpstr>分析藍本摘要</vt:lpstr>
      <vt:lpstr>題型1</vt:lpstr>
      <vt:lpstr>訂貨成本</vt:lpstr>
      <vt:lpstr>庫存上限</vt:lpstr>
      <vt:lpstr>單位利潤</vt:lpstr>
      <vt:lpstr>單位缺貨</vt:lpstr>
      <vt:lpstr>檢驗成本</vt:lpstr>
      <vt:lpstr>雜支成本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2023-03-18T04:19:06Z</dcterms:modified>
</cp:coreProperties>
</file>